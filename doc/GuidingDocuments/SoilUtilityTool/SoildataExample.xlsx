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8" windowWidth="14808" windowHeight="7896"/>
  </bookViews>
  <sheets>
    <sheet name="t-z data" sheetId="1" r:id="rId1"/>
    <sheet name="q-z data" sheetId="2" r:id="rId2"/>
    <sheet name="p-y data" sheetId="3" r:id="rId3"/>
    <sheet name="Sheet1" sheetId="4" r:id="rId4"/>
    <sheet name="Sheet2" sheetId="5" r:id="rId5"/>
    <sheet name="Sheet3" sheetId="6" r:id="rId6"/>
  </sheets>
  <calcPr calcId="145621"/>
</workbook>
</file>

<file path=xl/calcChain.xml><?xml version="1.0" encoding="utf-8"?>
<calcChain xmlns="http://schemas.openxmlformats.org/spreadsheetml/2006/main">
  <c r="C2" i="3" l="1"/>
  <c r="C1" i="3"/>
  <c r="U2" i="2"/>
  <c r="U1" i="2"/>
  <c r="H2" i="5" l="1"/>
  <c r="H3" i="5"/>
  <c r="H4" i="5"/>
  <c r="H5" i="5"/>
  <c r="H6" i="5"/>
  <c r="H7" i="5"/>
  <c r="H8" i="5"/>
  <c r="H9" i="5"/>
  <c r="H10" i="5"/>
  <c r="H1" i="5"/>
</calcChain>
</file>

<file path=xl/sharedStrings.xml><?xml version="1.0" encoding="utf-8"?>
<sst xmlns="http://schemas.openxmlformats.org/spreadsheetml/2006/main" count="122" uniqueCount="45">
  <si>
    <t>T(1)</t>
  </si>
  <si>
    <t>Z(1)</t>
  </si>
  <si>
    <t>T(2)</t>
  </si>
  <si>
    <t>Z(2)</t>
  </si>
  <si>
    <t>T(3)</t>
  </si>
  <si>
    <t>Z(3)</t>
  </si>
  <si>
    <t>T(4)</t>
  </si>
  <si>
    <t>Z(4)</t>
  </si>
  <si>
    <t>T(5)</t>
  </si>
  <si>
    <t>Z(5)</t>
  </si>
  <si>
    <t>T(6)</t>
  </si>
  <si>
    <t>Z(6)</t>
  </si>
  <si>
    <t>depth(m)</t>
  </si>
  <si>
    <t>"T" is load in kPa</t>
  </si>
  <si>
    <t>Q(1)</t>
  </si>
  <si>
    <t>Q(2)</t>
  </si>
  <si>
    <t>Q(3)</t>
  </si>
  <si>
    <t>Q(4)</t>
  </si>
  <si>
    <t>Q(5)</t>
  </si>
  <si>
    <t>Q(6)</t>
  </si>
  <si>
    <t>P</t>
  </si>
  <si>
    <t>Y</t>
  </si>
  <si>
    <t>"P" is kN/m</t>
  </si>
  <si>
    <t>"Y" is mm</t>
  </si>
  <si>
    <t xml:space="preserve">depth </t>
  </si>
  <si>
    <t>T(2)/kPa-from Sacs</t>
  </si>
  <si>
    <t>T(2)/Pa-from GeniE</t>
  </si>
  <si>
    <t>T(2)/Pa-convert to GeniE</t>
  </si>
  <si>
    <t>T</t>
  </si>
  <si>
    <t>Z</t>
  </si>
  <si>
    <t>Q</t>
  </si>
  <si>
    <t>Mudline = -55.5</t>
  </si>
  <si>
    <t>T Factor = 0.0001</t>
  </si>
  <si>
    <t>T Factor = 0.0214</t>
  </si>
  <si>
    <t>Z Factor = 0.100</t>
  </si>
  <si>
    <t>P Factor = 0.01</t>
  </si>
  <si>
    <t>Y Factor = 0.209</t>
  </si>
  <si>
    <t>Number</t>
  </si>
  <si>
    <t>Depth
(m)</t>
  </si>
  <si>
    <t xml:space="preserve"> </t>
  </si>
  <si>
    <t>Pile Diameter = 121.92 cm</t>
  </si>
  <si>
    <t>T-Z Data</t>
  </si>
  <si>
    <t>Q-Z Data</t>
  </si>
  <si>
    <t>P-Y Data</t>
  </si>
  <si>
    <t>Z Factor = 0.500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</si>
</sst>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1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2" fontId="1" fillId="0" borderId="14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2" fontId="1" fillId="0" borderId="15" xfId="0" applyNumberFormat="1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4" fontId="1" fillId="0" borderId="3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vertical="center"/>
    </xf>
    <xf numFmtId="1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2" fontId="1" fillId="0" borderId="16" xfId="0" applyNumberFormat="1" applyFont="1" applyBorder="1" applyAlignment="1">
      <alignment vertical="center"/>
    </xf>
    <xf numFmtId="2" fontId="1" fillId="0" borderId="6" xfId="0" applyNumberFormat="1" applyFont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/>
    </xf>
    <xf numFmtId="2" fontId="1" fillId="0" borderId="8" xfId="0" applyNumberFormat="1" applyFont="1" applyBorder="1"/>
    <xf numFmtId="0" fontId="1" fillId="0" borderId="9" xfId="0" applyFont="1" applyBorder="1" applyAlignment="1">
      <alignment horizontal="center"/>
    </xf>
    <xf numFmtId="2" fontId="1" fillId="0" borderId="14" xfId="0" applyNumberFormat="1" applyFont="1" applyBorder="1"/>
    <xf numFmtId="2" fontId="1" fillId="0" borderId="9" xfId="0" applyNumberFormat="1" applyFont="1" applyBorder="1"/>
    <xf numFmtId="1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2" fontId="1" fillId="0" borderId="15" xfId="0" applyNumberFormat="1" applyFont="1" applyBorder="1"/>
    <xf numFmtId="2" fontId="1" fillId="0" borderId="2" xfId="0" applyNumberFormat="1" applyFont="1" applyBorder="1"/>
    <xf numFmtId="2" fontId="1" fillId="0" borderId="3" xfId="0" applyNumberFormat="1" applyFont="1" applyBorder="1"/>
    <xf numFmtId="1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2" fontId="1" fillId="0" borderId="16" xfId="0" applyNumberFormat="1" applyFont="1" applyBorder="1"/>
    <xf numFmtId="2" fontId="1" fillId="0" borderId="5" xfId="0" applyNumberFormat="1" applyFont="1" applyBorder="1"/>
    <xf numFmtId="2" fontId="1" fillId="0" borderId="6" xfId="0" applyNumberFormat="1" applyFont="1" applyBorder="1"/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vertical="center"/>
    </xf>
    <xf numFmtId="0" fontId="1" fillId="0" borderId="18" xfId="0" applyFont="1" applyBorder="1" applyAlignment="1">
      <alignment horizontal="center"/>
    </xf>
    <xf numFmtId="2" fontId="1" fillId="0" borderId="19" xfId="0" applyNumberFormat="1" applyFont="1" applyBorder="1"/>
    <xf numFmtId="0" fontId="1" fillId="0" borderId="20" xfId="0" applyFont="1" applyBorder="1" applyAlignment="1">
      <alignment horizontal="center"/>
    </xf>
    <xf numFmtId="2" fontId="1" fillId="0" borderId="21" xfId="0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" fontId="1" fillId="0" borderId="17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cat>
            <c:numRef>
              <c:f>Sheet2!$J$1:$J$10</c:f>
              <c:numCache>
                <c:formatCode>0.0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1.5</c:v>
                </c:pt>
                <c:pt idx="4">
                  <c:v>4.2</c:v>
                </c:pt>
                <c:pt idx="5">
                  <c:v>4.2</c:v>
                </c:pt>
                <c:pt idx="6">
                  <c:v>8.1</c:v>
                </c:pt>
                <c:pt idx="7">
                  <c:v>6.6</c:v>
                </c:pt>
                <c:pt idx="8">
                  <c:v>8.1</c:v>
                </c:pt>
                <c:pt idx="9">
                  <c:v>6</c:v>
                </c:pt>
              </c:numCache>
            </c:numRef>
          </c:cat>
          <c:val>
            <c:numRef>
              <c:f>Sheet2!$K$1:$K$10</c:f>
              <c:numCache>
                <c:formatCode>General</c:formatCode>
                <c:ptCount val="10"/>
                <c:pt idx="0">
                  <c:v>0</c:v>
                </c:pt>
                <c:pt idx="1">
                  <c:v>-1.4</c:v>
                </c:pt>
                <c:pt idx="2">
                  <c:v>-1.4</c:v>
                </c:pt>
                <c:pt idx="3">
                  <c:v>-3.3</c:v>
                </c:pt>
                <c:pt idx="4">
                  <c:v>-3.3</c:v>
                </c:pt>
                <c:pt idx="5">
                  <c:v>-9.8000000000000007</c:v>
                </c:pt>
                <c:pt idx="6">
                  <c:v>-9.8000000000000007</c:v>
                </c:pt>
                <c:pt idx="7">
                  <c:v>-14.9</c:v>
                </c:pt>
                <c:pt idx="8">
                  <c:v>-14.9</c:v>
                </c:pt>
                <c:pt idx="9">
                  <c:v>-27.9</c:v>
                </c:pt>
              </c:numCache>
            </c:numRef>
          </c:val>
          <c:smooth val="0"/>
        </c:ser>
        <c:ser>
          <c:idx val="0"/>
          <c:order val="1"/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</c:dLbls>
          <c:cat>
            <c:numRef>
              <c:f>Sheet2!$J$1:$J$10</c:f>
              <c:numCache>
                <c:formatCode>0.0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1.5</c:v>
                </c:pt>
                <c:pt idx="3">
                  <c:v>1.5</c:v>
                </c:pt>
                <c:pt idx="4">
                  <c:v>4.2</c:v>
                </c:pt>
                <c:pt idx="5">
                  <c:v>4.2</c:v>
                </c:pt>
                <c:pt idx="6">
                  <c:v>8.1</c:v>
                </c:pt>
                <c:pt idx="7">
                  <c:v>6.6</c:v>
                </c:pt>
                <c:pt idx="8">
                  <c:v>8.1</c:v>
                </c:pt>
                <c:pt idx="9">
                  <c:v>6</c:v>
                </c:pt>
              </c:numCache>
            </c:numRef>
          </c:cat>
          <c:val>
            <c:numRef>
              <c:f>Sheet2!$H$1:$H$10</c:f>
              <c:numCache>
                <c:formatCode>General</c:formatCode>
                <c:ptCount val="10"/>
                <c:pt idx="0">
                  <c:v>0</c:v>
                </c:pt>
                <c:pt idx="1">
                  <c:v>-1.4</c:v>
                </c:pt>
                <c:pt idx="2">
                  <c:v>-1.4</c:v>
                </c:pt>
                <c:pt idx="3">
                  <c:v>-3.3</c:v>
                </c:pt>
                <c:pt idx="4">
                  <c:v>-3.3</c:v>
                </c:pt>
                <c:pt idx="5">
                  <c:v>-9.8000000000000007</c:v>
                </c:pt>
                <c:pt idx="6">
                  <c:v>-9.8000000000000007</c:v>
                </c:pt>
                <c:pt idx="7">
                  <c:v>-14.9</c:v>
                </c:pt>
                <c:pt idx="8">
                  <c:v>-14.9</c:v>
                </c:pt>
                <c:pt idx="9">
                  <c:v>-27.9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57696"/>
        <c:axId val="109367680"/>
      </c:lineChart>
      <c:catAx>
        <c:axId val="10935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9367680"/>
        <c:crosses val="autoZero"/>
        <c:auto val="1"/>
        <c:lblAlgn val="ctr"/>
        <c:lblOffset val="100"/>
        <c:noMultiLvlLbl val="0"/>
      </c:catAx>
      <c:valAx>
        <c:axId val="1093676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357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327660</xdr:colOff>
      <xdr:row>13</xdr:row>
      <xdr:rowOff>144780</xdr:rowOff>
    </xdr:from>
    <xdr:to>
      <xdr:col>15</xdr:col>
      <xdr:colOff>22860</xdr:colOff>
      <xdr:row>28</xdr:row>
      <xdr:rowOff>144780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8"/>
  <sheetViews>
    <sheetView tabSelected="1" topLeftCell="N1" zoomScale="80" zoomScaleNormal="80" workbookViewId="0">
      <selection activeCell="O1" sqref="O1:Y28"/>
    </sheetView>
  </sheetViews>
  <sheetFormatPr defaultRowHeight="14.4" x14ac:dyDescent="0.3"/>
  <cols>
    <col min="14" max="14" width="4.21875" customWidth="1"/>
    <col min="15" max="15" width="8.88671875" style="7"/>
  </cols>
  <sheetData>
    <row r="1" spans="1:25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O1" s="9"/>
      <c r="P1" s="10" t="s">
        <v>31</v>
      </c>
      <c r="Q1" s="10"/>
      <c r="R1" s="10"/>
      <c r="S1" s="10" t="s">
        <v>32</v>
      </c>
      <c r="T1" s="10"/>
      <c r="U1" s="10"/>
      <c r="V1" s="10"/>
      <c r="W1" s="10"/>
      <c r="X1" s="10"/>
      <c r="Y1" s="10"/>
    </row>
    <row r="2" spans="1:25" x14ac:dyDescent="0.3">
      <c r="A2" s="6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9"/>
      <c r="P2" s="10" t="s">
        <v>40</v>
      </c>
      <c r="Q2" s="10"/>
      <c r="R2" s="10"/>
      <c r="S2" s="10" t="s">
        <v>44</v>
      </c>
      <c r="T2" s="10"/>
      <c r="U2" s="10"/>
      <c r="V2" s="10"/>
      <c r="W2" s="10"/>
      <c r="X2" s="10"/>
      <c r="Y2" s="10"/>
    </row>
    <row r="3" spans="1:25" ht="15" thickBot="1" x14ac:dyDescent="0.35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64" t="s">
        <v>41</v>
      </c>
      <c r="P3" s="64"/>
      <c r="Q3" s="64"/>
      <c r="R3" s="64"/>
      <c r="S3" s="64"/>
      <c r="T3" s="64"/>
      <c r="U3" s="64"/>
      <c r="V3" s="64"/>
      <c r="W3" s="64"/>
      <c r="X3" s="64"/>
      <c r="Y3" s="64"/>
    </row>
    <row r="4" spans="1:25" ht="24.6" thickBot="1" x14ac:dyDescent="0.35">
      <c r="A4" s="6">
        <v>1.4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1" t="s">
        <v>37</v>
      </c>
      <c r="P4" s="12" t="s">
        <v>38</v>
      </c>
      <c r="Q4" s="13"/>
      <c r="R4" s="14">
        <v>1</v>
      </c>
      <c r="S4" s="15">
        <v>2</v>
      </c>
      <c r="T4" s="15">
        <v>3</v>
      </c>
      <c r="U4" s="15">
        <v>4</v>
      </c>
      <c r="V4" s="15">
        <v>5</v>
      </c>
      <c r="W4" s="15">
        <v>6</v>
      </c>
      <c r="X4" s="15">
        <v>7</v>
      </c>
      <c r="Y4" s="13">
        <v>8</v>
      </c>
    </row>
    <row r="5" spans="1:25" ht="16.05" customHeight="1" x14ac:dyDescent="0.3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6">
        <v>1</v>
      </c>
      <c r="P5" s="17">
        <v>0</v>
      </c>
      <c r="Q5" s="18" t="s">
        <v>28</v>
      </c>
      <c r="R5" s="19">
        <v>0</v>
      </c>
      <c r="S5" s="17">
        <v>0</v>
      </c>
      <c r="T5" s="20"/>
      <c r="U5" s="20"/>
      <c r="V5" s="20"/>
      <c r="W5" s="20"/>
      <c r="X5" s="20"/>
      <c r="Y5" s="21"/>
    </row>
    <row r="6" spans="1:25" ht="16.05" customHeight="1" x14ac:dyDescent="0.3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2"/>
      <c r="P6" s="23"/>
      <c r="Q6" s="24" t="s">
        <v>29</v>
      </c>
      <c r="R6" s="25">
        <v>0</v>
      </c>
      <c r="S6" s="26">
        <v>228.6</v>
      </c>
      <c r="T6" s="23"/>
      <c r="U6" s="23"/>
      <c r="V6" s="23"/>
      <c r="W6" s="23"/>
      <c r="X6" s="23"/>
      <c r="Y6" s="27"/>
    </row>
    <row r="7" spans="1:25" ht="16.05" customHeight="1" x14ac:dyDescent="0.3">
      <c r="A7" s="6">
        <v>9.81</v>
      </c>
      <c r="B7" s="1">
        <v>0</v>
      </c>
      <c r="C7" s="1">
        <v>0</v>
      </c>
      <c r="D7" s="1">
        <v>6.6</v>
      </c>
      <c r="E7" s="1">
        <v>3.9</v>
      </c>
      <c r="F7" s="1">
        <v>11</v>
      </c>
      <c r="G7" s="1">
        <v>7.6</v>
      </c>
      <c r="H7" s="1">
        <v>16.5</v>
      </c>
      <c r="I7" s="1">
        <v>13.9</v>
      </c>
      <c r="J7" s="1">
        <v>19.8</v>
      </c>
      <c r="K7" s="1">
        <v>19.5</v>
      </c>
      <c r="L7" s="1">
        <v>22</v>
      </c>
      <c r="M7" s="1">
        <v>24.4</v>
      </c>
      <c r="N7" s="1"/>
      <c r="O7" s="22">
        <v>2</v>
      </c>
      <c r="P7" s="26">
        <v>1.5</v>
      </c>
      <c r="Q7" s="28" t="s">
        <v>28</v>
      </c>
      <c r="R7" s="25">
        <v>0</v>
      </c>
      <c r="S7" s="26">
        <v>4.2</v>
      </c>
      <c r="T7" s="26">
        <v>7</v>
      </c>
      <c r="U7" s="26">
        <v>10.5</v>
      </c>
      <c r="V7" s="26">
        <v>12.6</v>
      </c>
      <c r="W7" s="26">
        <v>14</v>
      </c>
      <c r="X7" s="26">
        <v>11.2</v>
      </c>
      <c r="Y7" s="29">
        <v>11.2</v>
      </c>
    </row>
    <row r="8" spans="1:25" ht="16.05" customHeight="1" x14ac:dyDescent="0.3">
      <c r="A8" s="6">
        <v>14.9</v>
      </c>
      <c r="B8" s="1">
        <v>0</v>
      </c>
      <c r="C8" s="1">
        <v>0</v>
      </c>
      <c r="D8" s="1">
        <v>8.1</v>
      </c>
      <c r="E8" s="1">
        <v>3.9</v>
      </c>
      <c r="F8" s="1">
        <v>13.5</v>
      </c>
      <c r="G8" s="1">
        <v>7.6</v>
      </c>
      <c r="H8" s="1">
        <v>20.3</v>
      </c>
      <c r="I8" s="1">
        <v>13.9</v>
      </c>
      <c r="J8" s="1">
        <v>24.3</v>
      </c>
      <c r="K8" s="1">
        <v>19.5</v>
      </c>
      <c r="L8" s="1">
        <v>27</v>
      </c>
      <c r="M8" s="1">
        <v>24.4</v>
      </c>
      <c r="N8" s="1"/>
      <c r="O8" s="22"/>
      <c r="P8" s="26"/>
      <c r="Q8" s="24" t="s">
        <v>29</v>
      </c>
      <c r="R8" s="25">
        <v>0</v>
      </c>
      <c r="S8" s="26">
        <v>3.9</v>
      </c>
      <c r="T8" s="26">
        <v>7.6</v>
      </c>
      <c r="U8" s="26">
        <v>13.9</v>
      </c>
      <c r="V8" s="26">
        <v>19.5</v>
      </c>
      <c r="W8" s="26">
        <v>24.4</v>
      </c>
      <c r="X8" s="26">
        <v>48.8</v>
      </c>
      <c r="Y8" s="29">
        <v>228.6</v>
      </c>
    </row>
    <row r="9" spans="1:25" ht="16.05" customHeight="1" x14ac:dyDescent="0.3">
      <c r="A9" s="6">
        <v>37.9</v>
      </c>
      <c r="B9" s="1">
        <v>0</v>
      </c>
      <c r="C9" s="1">
        <v>0</v>
      </c>
      <c r="D9" s="1">
        <v>13.5</v>
      </c>
      <c r="E9" s="1">
        <v>3.9</v>
      </c>
      <c r="F9" s="1">
        <v>22.5</v>
      </c>
      <c r="G9" s="1">
        <v>7.6</v>
      </c>
      <c r="H9" s="1">
        <v>33.799999999999997</v>
      </c>
      <c r="I9" s="1">
        <v>13.9</v>
      </c>
      <c r="J9" s="1">
        <v>40.5</v>
      </c>
      <c r="K9" s="1">
        <v>19.5</v>
      </c>
      <c r="L9" s="1">
        <v>45</v>
      </c>
      <c r="M9" s="1">
        <v>24.4</v>
      </c>
      <c r="N9" s="1"/>
      <c r="O9" s="22">
        <v>3</v>
      </c>
      <c r="P9" s="26">
        <v>4.5</v>
      </c>
      <c r="Q9" s="28" t="s">
        <v>28</v>
      </c>
      <c r="R9" s="25">
        <v>0</v>
      </c>
      <c r="S9" s="26">
        <v>8.1</v>
      </c>
      <c r="T9" s="26">
        <v>13.5</v>
      </c>
      <c r="U9" s="26">
        <v>20.3</v>
      </c>
      <c r="V9" s="26">
        <v>24.3</v>
      </c>
      <c r="W9" s="26">
        <v>27</v>
      </c>
      <c r="X9" s="26">
        <v>21.6</v>
      </c>
      <c r="Y9" s="29">
        <v>21.6</v>
      </c>
    </row>
    <row r="10" spans="1:25" ht="16.05" customHeight="1" x14ac:dyDescent="0.3">
      <c r="A10" s="6">
        <v>37.909999999999997</v>
      </c>
      <c r="B10" s="1">
        <v>0</v>
      </c>
      <c r="C10" s="1">
        <v>0</v>
      </c>
      <c r="D10" s="1">
        <v>96</v>
      </c>
      <c r="E10" s="1">
        <v>2.5</v>
      </c>
      <c r="F10" s="1">
        <v>96</v>
      </c>
      <c r="G10" s="1">
        <v>2438</v>
      </c>
      <c r="H10" s="1"/>
      <c r="I10" s="1"/>
      <c r="J10" s="1"/>
      <c r="K10" s="1"/>
      <c r="L10" s="1"/>
      <c r="M10" s="1"/>
      <c r="N10" s="1"/>
      <c r="O10" s="22"/>
      <c r="P10" s="26"/>
      <c r="Q10" s="24" t="s">
        <v>29</v>
      </c>
      <c r="R10" s="25">
        <v>0</v>
      </c>
      <c r="S10" s="26">
        <v>3.9</v>
      </c>
      <c r="T10" s="26">
        <v>7.6</v>
      </c>
      <c r="U10" s="26">
        <v>13.9</v>
      </c>
      <c r="V10" s="26">
        <v>19.5</v>
      </c>
      <c r="W10" s="26">
        <v>24.4</v>
      </c>
      <c r="X10" s="26">
        <v>48.8</v>
      </c>
      <c r="Y10" s="29">
        <v>228.6</v>
      </c>
    </row>
    <row r="11" spans="1:25" ht="16.05" customHeight="1" x14ac:dyDescent="0.3">
      <c r="A11" s="6">
        <v>65</v>
      </c>
      <c r="B11" s="1">
        <v>0</v>
      </c>
      <c r="C11" s="1">
        <v>0</v>
      </c>
      <c r="D11" s="1">
        <v>24</v>
      </c>
      <c r="E11" s="1">
        <v>3.9</v>
      </c>
      <c r="F11" s="1">
        <v>40</v>
      </c>
      <c r="G11" s="1">
        <v>7.6</v>
      </c>
      <c r="H11" s="1">
        <v>60</v>
      </c>
      <c r="I11" s="1">
        <v>13.9</v>
      </c>
      <c r="J11" s="1">
        <v>72</v>
      </c>
      <c r="K11" s="1">
        <v>19.5</v>
      </c>
      <c r="L11" s="1">
        <v>80</v>
      </c>
      <c r="M11" s="1">
        <v>24.4</v>
      </c>
      <c r="N11" s="1"/>
      <c r="O11" s="22">
        <v>4</v>
      </c>
      <c r="P11" s="26">
        <v>7.5</v>
      </c>
      <c r="Q11" s="28" t="s">
        <v>28</v>
      </c>
      <c r="R11" s="25">
        <v>0</v>
      </c>
      <c r="S11" s="26">
        <v>13.5</v>
      </c>
      <c r="T11" s="26">
        <v>22.5</v>
      </c>
      <c r="U11" s="26">
        <v>33.799999999999997</v>
      </c>
      <c r="V11" s="26">
        <v>40.5</v>
      </c>
      <c r="W11" s="26">
        <v>45</v>
      </c>
      <c r="X11" s="26">
        <v>36</v>
      </c>
      <c r="Y11" s="29">
        <v>36</v>
      </c>
    </row>
    <row r="12" spans="1:25" ht="16.05" customHeight="1" x14ac:dyDescent="0.3">
      <c r="A12" s="6">
        <v>65.010000000000005</v>
      </c>
      <c r="B12" s="1">
        <v>0</v>
      </c>
      <c r="C12" s="1">
        <v>0</v>
      </c>
      <c r="D12" s="1">
        <v>80</v>
      </c>
      <c r="E12" s="1">
        <v>2.5</v>
      </c>
      <c r="F12" s="1">
        <v>80</v>
      </c>
      <c r="G12" s="1">
        <v>2438</v>
      </c>
      <c r="H12" s="1"/>
      <c r="I12" s="1"/>
      <c r="J12" s="1"/>
      <c r="K12" s="1"/>
      <c r="L12" s="1"/>
      <c r="M12" s="1"/>
      <c r="N12" s="1"/>
      <c r="O12" s="22"/>
      <c r="P12" s="26"/>
      <c r="Q12" s="24" t="s">
        <v>29</v>
      </c>
      <c r="R12" s="25">
        <v>0</v>
      </c>
      <c r="S12" s="26">
        <v>3.9</v>
      </c>
      <c r="T12" s="26">
        <v>7.6</v>
      </c>
      <c r="U12" s="26">
        <v>13.9</v>
      </c>
      <c r="V12" s="26">
        <v>19.5</v>
      </c>
      <c r="W12" s="26">
        <v>24.4</v>
      </c>
      <c r="X12" s="26">
        <v>48.8</v>
      </c>
      <c r="Y12" s="29">
        <v>228.6</v>
      </c>
    </row>
    <row r="13" spans="1:25" ht="16.05" customHeight="1" x14ac:dyDescent="0.3">
      <c r="A13" s="6">
        <v>91.8</v>
      </c>
      <c r="B13" s="1">
        <v>0</v>
      </c>
      <c r="C13" s="1">
        <v>0</v>
      </c>
      <c r="D13" s="1">
        <v>80</v>
      </c>
      <c r="E13" s="1">
        <v>2.5</v>
      </c>
      <c r="F13" s="1">
        <v>80</v>
      </c>
      <c r="G13" s="1">
        <v>2438</v>
      </c>
      <c r="H13" s="1"/>
      <c r="I13" s="1"/>
      <c r="J13" s="1"/>
      <c r="K13" s="1"/>
      <c r="L13" s="1"/>
      <c r="M13" s="1"/>
      <c r="N13" s="1"/>
      <c r="O13" s="22">
        <v>5</v>
      </c>
      <c r="P13" s="26">
        <v>9</v>
      </c>
      <c r="Q13" s="28" t="s">
        <v>28</v>
      </c>
      <c r="R13" s="25">
        <v>0</v>
      </c>
      <c r="S13" s="26">
        <v>10.5</v>
      </c>
      <c r="T13" s="26">
        <v>17.5</v>
      </c>
      <c r="U13" s="26">
        <v>26.3</v>
      </c>
      <c r="V13" s="26">
        <v>31.5</v>
      </c>
      <c r="W13" s="26">
        <v>35</v>
      </c>
      <c r="X13" s="26">
        <v>28</v>
      </c>
      <c r="Y13" s="29">
        <v>28</v>
      </c>
    </row>
    <row r="14" spans="1:25" ht="16.05" customHeight="1" x14ac:dyDescent="0.3">
      <c r="A14" s="6">
        <v>91.81</v>
      </c>
      <c r="B14" s="1">
        <v>0</v>
      </c>
      <c r="C14" s="1">
        <v>0</v>
      </c>
      <c r="D14" s="1">
        <v>45</v>
      </c>
      <c r="E14" s="1">
        <v>3.9</v>
      </c>
      <c r="F14" s="1">
        <v>75</v>
      </c>
      <c r="G14" s="1">
        <v>7.6</v>
      </c>
      <c r="H14" s="1">
        <v>112.5</v>
      </c>
      <c r="I14" s="1">
        <v>13.9</v>
      </c>
      <c r="J14" s="1">
        <v>135</v>
      </c>
      <c r="K14" s="1">
        <v>19.5</v>
      </c>
      <c r="L14" s="1">
        <v>150</v>
      </c>
      <c r="M14" s="1">
        <v>24.4</v>
      </c>
      <c r="N14" s="1"/>
      <c r="O14" s="22"/>
      <c r="P14" s="26"/>
      <c r="Q14" s="24" t="s">
        <v>29</v>
      </c>
      <c r="R14" s="25">
        <v>0</v>
      </c>
      <c r="S14" s="26">
        <v>3.9</v>
      </c>
      <c r="T14" s="26">
        <v>7.6</v>
      </c>
      <c r="U14" s="26">
        <v>13.9</v>
      </c>
      <c r="V14" s="26">
        <v>19.5</v>
      </c>
      <c r="W14" s="26">
        <v>24.4</v>
      </c>
      <c r="X14" s="26">
        <v>48.8</v>
      </c>
      <c r="Y14" s="29">
        <v>228.6</v>
      </c>
    </row>
    <row r="15" spans="1:25" ht="16.05" customHeight="1" x14ac:dyDescent="0.3">
      <c r="A15" s="6">
        <v>126</v>
      </c>
      <c r="B15" s="1">
        <v>0</v>
      </c>
      <c r="C15" s="1">
        <v>0</v>
      </c>
      <c r="D15" s="1">
        <v>67</v>
      </c>
      <c r="E15" s="1">
        <v>2.5</v>
      </c>
      <c r="F15" s="1">
        <v>67</v>
      </c>
      <c r="G15" s="1">
        <v>2438</v>
      </c>
      <c r="H15" s="1"/>
      <c r="I15" s="1"/>
      <c r="J15" s="1"/>
      <c r="K15" s="1"/>
      <c r="L15" s="1"/>
      <c r="M15" s="1"/>
      <c r="N15" s="1"/>
      <c r="O15" s="22">
        <v>6</v>
      </c>
      <c r="P15" s="26">
        <v>15.5</v>
      </c>
      <c r="Q15" s="28" t="s">
        <v>28</v>
      </c>
      <c r="R15" s="25">
        <v>0</v>
      </c>
      <c r="S15" s="26">
        <v>96</v>
      </c>
      <c r="T15" s="26">
        <v>96</v>
      </c>
      <c r="U15" s="26"/>
      <c r="V15" s="26"/>
      <c r="W15" s="26"/>
      <c r="X15" s="26"/>
      <c r="Y15" s="29"/>
    </row>
    <row r="16" spans="1:25" ht="16.05" customHeight="1" x14ac:dyDescent="0.3">
      <c r="A16" s="6">
        <v>126.01</v>
      </c>
      <c r="B16" s="1">
        <v>0</v>
      </c>
      <c r="C16" s="1">
        <v>0</v>
      </c>
      <c r="D16" s="1">
        <v>67.5</v>
      </c>
      <c r="E16" s="1">
        <v>3.9</v>
      </c>
      <c r="F16" s="1">
        <v>112.5</v>
      </c>
      <c r="G16" s="1">
        <v>7.6</v>
      </c>
      <c r="H16" s="1">
        <v>168.8</v>
      </c>
      <c r="I16" s="1">
        <v>13.9</v>
      </c>
      <c r="J16" s="1">
        <v>202.5</v>
      </c>
      <c r="K16" s="1">
        <v>19.5</v>
      </c>
      <c r="L16" s="1">
        <v>225</v>
      </c>
      <c r="M16" s="1">
        <v>24.4</v>
      </c>
      <c r="N16" s="1"/>
      <c r="O16" s="22"/>
      <c r="P16" s="26"/>
      <c r="Q16" s="24" t="s">
        <v>29</v>
      </c>
      <c r="R16" s="25">
        <v>0</v>
      </c>
      <c r="S16" s="26">
        <v>2.5</v>
      </c>
      <c r="T16" s="26">
        <v>243.8</v>
      </c>
      <c r="U16" s="26"/>
      <c r="V16" s="26"/>
      <c r="W16" s="26"/>
      <c r="X16" s="26"/>
      <c r="Y16" s="29"/>
    </row>
    <row r="17" spans="1:25" ht="16.05" customHeight="1" x14ac:dyDescent="0.3">
      <c r="O17" s="22">
        <v>7</v>
      </c>
      <c r="P17" s="26">
        <v>21.75</v>
      </c>
      <c r="Q17" s="28" t="s">
        <v>28</v>
      </c>
      <c r="R17" s="25">
        <v>0</v>
      </c>
      <c r="S17" s="26">
        <v>24</v>
      </c>
      <c r="T17" s="26">
        <v>40</v>
      </c>
      <c r="U17" s="26">
        <v>60</v>
      </c>
      <c r="V17" s="26">
        <v>72</v>
      </c>
      <c r="W17" s="26">
        <v>80</v>
      </c>
      <c r="X17" s="26">
        <v>64</v>
      </c>
      <c r="Y17" s="29">
        <v>64</v>
      </c>
    </row>
    <row r="18" spans="1:25" ht="16.05" customHeight="1" x14ac:dyDescent="0.3">
      <c r="A18" t="s">
        <v>13</v>
      </c>
      <c r="O18" s="22"/>
      <c r="P18" s="26"/>
      <c r="Q18" s="24" t="s">
        <v>29</v>
      </c>
      <c r="R18" s="25">
        <v>0</v>
      </c>
      <c r="S18" s="26">
        <v>3.9</v>
      </c>
      <c r="T18" s="26">
        <v>7.6</v>
      </c>
      <c r="U18" s="26">
        <v>13.9</v>
      </c>
      <c r="V18" s="26">
        <v>19.5</v>
      </c>
      <c r="W18" s="26">
        <v>24.4</v>
      </c>
      <c r="X18" s="26">
        <v>48.8</v>
      </c>
      <c r="Y18" s="29">
        <v>228.6</v>
      </c>
    </row>
    <row r="19" spans="1:25" ht="16.05" customHeight="1" x14ac:dyDescent="0.3">
      <c r="O19" s="22">
        <v>8</v>
      </c>
      <c r="P19" s="26">
        <v>31.26</v>
      </c>
      <c r="Q19" s="28" t="s">
        <v>28</v>
      </c>
      <c r="R19" s="25">
        <v>0</v>
      </c>
      <c r="S19" s="26">
        <v>30</v>
      </c>
      <c r="T19" s="26">
        <v>50</v>
      </c>
      <c r="U19" s="26">
        <v>75</v>
      </c>
      <c r="V19" s="26">
        <v>90</v>
      </c>
      <c r="W19" s="26">
        <v>100</v>
      </c>
      <c r="X19" s="26">
        <v>80</v>
      </c>
      <c r="Y19" s="29">
        <v>80</v>
      </c>
    </row>
    <row r="20" spans="1:25" ht="16.05" customHeight="1" x14ac:dyDescent="0.3">
      <c r="O20" s="22"/>
      <c r="P20" s="26"/>
      <c r="Q20" s="24" t="s">
        <v>29</v>
      </c>
      <c r="R20" s="25">
        <v>0</v>
      </c>
      <c r="S20" s="26">
        <v>3.9</v>
      </c>
      <c r="T20" s="26">
        <v>7.6</v>
      </c>
      <c r="U20" s="26">
        <v>13.9</v>
      </c>
      <c r="V20" s="26">
        <v>19.5</v>
      </c>
      <c r="W20" s="26">
        <v>24.4</v>
      </c>
      <c r="X20" s="26">
        <v>48.8</v>
      </c>
      <c r="Y20" s="29">
        <v>228.6</v>
      </c>
    </row>
    <row r="21" spans="1:25" ht="16.05" customHeight="1" x14ac:dyDescent="0.3">
      <c r="O21" s="22">
        <v>9</v>
      </c>
      <c r="P21" s="26">
        <v>45</v>
      </c>
      <c r="Q21" s="28" t="s">
        <v>28</v>
      </c>
      <c r="R21" s="25">
        <v>0</v>
      </c>
      <c r="S21" s="26">
        <v>96</v>
      </c>
      <c r="T21" s="26">
        <v>96</v>
      </c>
      <c r="U21" s="26"/>
      <c r="V21" s="26"/>
      <c r="W21" s="26"/>
      <c r="X21" s="26"/>
      <c r="Y21" s="29"/>
    </row>
    <row r="22" spans="1:25" ht="16.05" customHeight="1" x14ac:dyDescent="0.3">
      <c r="O22" s="22"/>
      <c r="P22" s="26"/>
      <c r="Q22" s="24" t="s">
        <v>29</v>
      </c>
      <c r="R22" s="25">
        <v>0</v>
      </c>
      <c r="S22" s="26">
        <v>2.5</v>
      </c>
      <c r="T22" s="26">
        <v>243.8</v>
      </c>
      <c r="U22" s="26"/>
      <c r="V22" s="26"/>
      <c r="W22" s="26"/>
      <c r="X22" s="26"/>
      <c r="Y22" s="29"/>
    </row>
    <row r="23" spans="1:25" ht="16.05" customHeight="1" x14ac:dyDescent="0.3">
      <c r="O23" s="22">
        <v>10</v>
      </c>
      <c r="P23" s="26">
        <v>65.8</v>
      </c>
      <c r="Q23" s="28" t="s">
        <v>28</v>
      </c>
      <c r="R23" s="25">
        <v>0</v>
      </c>
      <c r="S23" s="26">
        <v>80</v>
      </c>
      <c r="T23" s="26">
        <v>80</v>
      </c>
      <c r="U23" s="26"/>
      <c r="V23" s="26"/>
      <c r="W23" s="26"/>
      <c r="X23" s="26"/>
      <c r="Y23" s="29"/>
    </row>
    <row r="24" spans="1:25" ht="16.05" customHeight="1" x14ac:dyDescent="0.3">
      <c r="O24" s="22"/>
      <c r="P24" s="26" t="s">
        <v>39</v>
      </c>
      <c r="Q24" s="24" t="s">
        <v>29</v>
      </c>
      <c r="R24" s="25">
        <v>0</v>
      </c>
      <c r="S24" s="26">
        <v>2.5</v>
      </c>
      <c r="T24" s="26">
        <v>243.8</v>
      </c>
      <c r="U24" s="26"/>
      <c r="V24" s="26"/>
      <c r="W24" s="26"/>
      <c r="X24" s="26"/>
      <c r="Y24" s="29"/>
    </row>
    <row r="25" spans="1:25" ht="16.05" customHeight="1" x14ac:dyDescent="0.3">
      <c r="O25" s="22">
        <v>11</v>
      </c>
      <c r="P25" s="26">
        <v>83</v>
      </c>
      <c r="Q25" s="28" t="s">
        <v>28</v>
      </c>
      <c r="R25" s="25">
        <v>0</v>
      </c>
      <c r="S25" s="26">
        <v>80</v>
      </c>
      <c r="T25" s="26">
        <v>80</v>
      </c>
      <c r="U25" s="26"/>
      <c r="V25" s="26"/>
      <c r="W25" s="26"/>
      <c r="X25" s="26"/>
      <c r="Y25" s="29"/>
    </row>
    <row r="26" spans="1:25" ht="16.05" customHeight="1" x14ac:dyDescent="0.3">
      <c r="O26" s="22"/>
      <c r="P26" s="26"/>
      <c r="Q26" s="24" t="s">
        <v>29</v>
      </c>
      <c r="R26" s="25">
        <v>0</v>
      </c>
      <c r="S26" s="26">
        <v>2.5</v>
      </c>
      <c r="T26" s="26">
        <v>243.8</v>
      </c>
      <c r="U26" s="26"/>
      <c r="V26" s="26"/>
      <c r="W26" s="26"/>
      <c r="X26" s="26"/>
      <c r="Y26" s="29"/>
    </row>
    <row r="27" spans="1:25" ht="16.05" customHeight="1" x14ac:dyDescent="0.3">
      <c r="O27" s="22">
        <v>12</v>
      </c>
      <c r="P27" s="26">
        <v>104.9</v>
      </c>
      <c r="Q27" s="28" t="s">
        <v>28</v>
      </c>
      <c r="R27" s="25">
        <v>0</v>
      </c>
      <c r="S27" s="26">
        <v>45</v>
      </c>
      <c r="T27" s="26">
        <v>75</v>
      </c>
      <c r="U27" s="26">
        <v>112.5</v>
      </c>
      <c r="V27" s="26">
        <v>135</v>
      </c>
      <c r="W27" s="26">
        <v>150</v>
      </c>
      <c r="X27" s="26">
        <v>120</v>
      </c>
      <c r="Y27" s="29">
        <v>120</v>
      </c>
    </row>
    <row r="28" spans="1:25" ht="16.05" customHeight="1" thickBot="1" x14ac:dyDescent="0.35">
      <c r="O28" s="30"/>
      <c r="P28" s="31"/>
      <c r="Q28" s="32" t="s">
        <v>29</v>
      </c>
      <c r="R28" s="33">
        <v>0</v>
      </c>
      <c r="S28" s="31">
        <v>3.9</v>
      </c>
      <c r="T28" s="31">
        <v>7.6</v>
      </c>
      <c r="U28" s="31">
        <v>13.9</v>
      </c>
      <c r="V28" s="31">
        <v>19.5</v>
      </c>
      <c r="W28" s="31">
        <v>24.4</v>
      </c>
      <c r="X28" s="31">
        <v>48.8</v>
      </c>
      <c r="Y28" s="34">
        <v>228.6</v>
      </c>
    </row>
  </sheetData>
  <mergeCells count="1">
    <mergeCell ref="O3:Y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AD18"/>
  <sheetViews>
    <sheetView topLeftCell="S1" zoomScale="80" zoomScaleNormal="80" workbookViewId="0">
      <selection activeCell="W25" sqref="W25"/>
    </sheetView>
  </sheetViews>
  <sheetFormatPr defaultRowHeight="14.4" x14ac:dyDescent="0.3"/>
  <sheetData>
    <row r="1" spans="6:30" x14ac:dyDescent="0.3">
      <c r="F1" t="s">
        <v>12</v>
      </c>
      <c r="G1" t="s">
        <v>14</v>
      </c>
      <c r="H1" t="s">
        <v>1</v>
      </c>
      <c r="I1" t="s">
        <v>15</v>
      </c>
      <c r="J1" t="s">
        <v>3</v>
      </c>
      <c r="K1" t="s">
        <v>16</v>
      </c>
      <c r="L1" t="s">
        <v>5</v>
      </c>
      <c r="M1" t="s">
        <v>17</v>
      </c>
      <c r="N1" t="s">
        <v>7</v>
      </c>
      <c r="O1" t="s">
        <v>18</v>
      </c>
      <c r="P1" t="s">
        <v>9</v>
      </c>
      <c r="Q1" t="s">
        <v>19</v>
      </c>
      <c r="R1" t="s">
        <v>11</v>
      </c>
      <c r="T1" s="10"/>
      <c r="U1" s="10" t="str">
        <f>'t-z data'!P1</f>
        <v>Mudline = -55.5</v>
      </c>
      <c r="V1" s="10"/>
      <c r="W1" s="10"/>
      <c r="X1" s="10" t="s">
        <v>33</v>
      </c>
      <c r="Y1" s="10"/>
      <c r="Z1" s="10"/>
      <c r="AA1" s="10"/>
      <c r="AB1" s="10"/>
      <c r="AC1" s="10"/>
      <c r="AD1" s="10"/>
    </row>
    <row r="2" spans="6:30" x14ac:dyDescent="0.3">
      <c r="F2" s="6">
        <v>9.8000000000000007</v>
      </c>
      <c r="G2" s="1">
        <v>0</v>
      </c>
      <c r="H2" s="1">
        <v>0</v>
      </c>
      <c r="I2" s="1">
        <v>0.3</v>
      </c>
      <c r="J2" s="1">
        <v>4.9000000000000004</v>
      </c>
      <c r="K2" s="1">
        <v>0.6</v>
      </c>
      <c r="L2" s="1">
        <v>31.7</v>
      </c>
      <c r="M2" s="1">
        <v>0.9</v>
      </c>
      <c r="N2" s="1">
        <v>102.4</v>
      </c>
      <c r="O2" s="1">
        <v>1.1000000000000001</v>
      </c>
      <c r="P2" s="1">
        <v>178</v>
      </c>
      <c r="Q2" s="1">
        <v>1.3</v>
      </c>
      <c r="R2" s="1">
        <v>243.8</v>
      </c>
      <c r="S2" s="1"/>
      <c r="T2" s="10"/>
      <c r="U2" s="10" t="str">
        <f>'t-z data'!P2</f>
        <v>Pile Diameter = 121.92 cm</v>
      </c>
      <c r="V2" s="10"/>
      <c r="W2" s="10"/>
      <c r="X2" s="10" t="s">
        <v>34</v>
      </c>
      <c r="Y2" s="10"/>
      <c r="Z2" s="10"/>
      <c r="AA2" s="10"/>
      <c r="AB2" s="10"/>
      <c r="AC2" s="10"/>
      <c r="AD2" s="10"/>
    </row>
    <row r="3" spans="6:30" ht="15" thickBot="1" x14ac:dyDescent="0.35"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65" t="s">
        <v>42</v>
      </c>
      <c r="U3" s="65"/>
      <c r="V3" s="65"/>
      <c r="W3" s="65"/>
      <c r="X3" s="65"/>
      <c r="Y3" s="65"/>
      <c r="Z3" s="65"/>
      <c r="AA3" s="65"/>
      <c r="AB3" s="65"/>
      <c r="AC3" s="65"/>
      <c r="AD3" s="65"/>
    </row>
    <row r="4" spans="6:30" ht="24.6" thickBot="1" x14ac:dyDescent="0.35">
      <c r="F4" s="6">
        <v>14.9</v>
      </c>
      <c r="G4" s="1">
        <v>0</v>
      </c>
      <c r="H4" s="1">
        <v>0</v>
      </c>
      <c r="I4" s="1">
        <v>0.3</v>
      </c>
      <c r="J4" s="1">
        <v>4.9000000000000004</v>
      </c>
      <c r="K4" s="1">
        <v>0.6</v>
      </c>
      <c r="L4" s="1">
        <v>31.7</v>
      </c>
      <c r="M4" s="1">
        <v>0.9</v>
      </c>
      <c r="N4" s="1">
        <v>102.4</v>
      </c>
      <c r="O4" s="1">
        <v>1.1000000000000001</v>
      </c>
      <c r="P4" s="1">
        <v>178</v>
      </c>
      <c r="Q4" s="1">
        <v>1.3</v>
      </c>
      <c r="R4" s="1">
        <v>243.8</v>
      </c>
      <c r="S4" s="1"/>
      <c r="T4" s="35" t="s">
        <v>37</v>
      </c>
      <c r="U4" s="12" t="s">
        <v>38</v>
      </c>
      <c r="V4" s="13"/>
      <c r="W4" s="14">
        <v>1</v>
      </c>
      <c r="X4" s="15">
        <v>2</v>
      </c>
      <c r="Y4" s="15">
        <v>3</v>
      </c>
      <c r="Z4" s="15">
        <v>4</v>
      </c>
      <c r="AA4" s="15">
        <v>5</v>
      </c>
      <c r="AB4" s="15">
        <v>6</v>
      </c>
      <c r="AC4" s="15">
        <v>7</v>
      </c>
      <c r="AD4" s="13">
        <v>8</v>
      </c>
    </row>
    <row r="5" spans="6:30" ht="16.05" customHeight="1" x14ac:dyDescent="0.3">
      <c r="F5" s="6">
        <v>14.91</v>
      </c>
      <c r="G5" s="1">
        <v>0</v>
      </c>
      <c r="H5" s="1">
        <v>0</v>
      </c>
      <c r="I5" s="1">
        <v>0.2</v>
      </c>
      <c r="J5" s="1">
        <v>4.9000000000000004</v>
      </c>
      <c r="K5" s="1">
        <v>0.4</v>
      </c>
      <c r="L5" s="1">
        <v>31.7</v>
      </c>
      <c r="M5" s="1">
        <v>0.6</v>
      </c>
      <c r="N5" s="1">
        <v>102.4</v>
      </c>
      <c r="O5" s="1">
        <v>0.8</v>
      </c>
      <c r="P5" s="1">
        <v>178</v>
      </c>
      <c r="Q5" s="1">
        <v>0.8</v>
      </c>
      <c r="R5" s="1">
        <v>243.8</v>
      </c>
      <c r="S5" s="1"/>
      <c r="T5" s="36">
        <v>1</v>
      </c>
      <c r="U5" s="37">
        <v>9</v>
      </c>
      <c r="V5" s="38" t="s">
        <v>30</v>
      </c>
      <c r="W5" s="39">
        <v>0</v>
      </c>
      <c r="X5" s="37">
        <v>0.3</v>
      </c>
      <c r="Y5" s="37">
        <v>0.6</v>
      </c>
      <c r="Z5" s="37">
        <v>0.9</v>
      </c>
      <c r="AA5" s="37">
        <v>1.1000000000000001</v>
      </c>
      <c r="AB5" s="37">
        <v>1.3</v>
      </c>
      <c r="AC5" s="37">
        <v>1.3</v>
      </c>
      <c r="AD5" s="40">
        <v>1.3</v>
      </c>
    </row>
    <row r="6" spans="6:30" ht="16.05" customHeight="1" x14ac:dyDescent="0.3">
      <c r="F6" s="6">
        <v>27.9</v>
      </c>
      <c r="G6" s="1">
        <v>0</v>
      </c>
      <c r="H6" s="1">
        <v>0</v>
      </c>
      <c r="I6" s="1">
        <v>0.5</v>
      </c>
      <c r="J6" s="1">
        <v>4.9000000000000004</v>
      </c>
      <c r="K6" s="1">
        <v>0.9</v>
      </c>
      <c r="L6" s="1">
        <v>31.7</v>
      </c>
      <c r="M6" s="1">
        <v>1.4</v>
      </c>
      <c r="N6" s="1">
        <v>102.4</v>
      </c>
      <c r="O6" s="1">
        <v>1.7</v>
      </c>
      <c r="P6" s="1">
        <v>178</v>
      </c>
      <c r="Q6" s="1">
        <v>1.9</v>
      </c>
      <c r="R6" s="1">
        <v>243.8</v>
      </c>
      <c r="S6" s="1"/>
      <c r="T6" s="41"/>
      <c r="U6" s="42"/>
      <c r="V6" s="43" t="s">
        <v>29</v>
      </c>
      <c r="W6" s="44">
        <v>0</v>
      </c>
      <c r="X6" s="45">
        <v>4.9000000000000004</v>
      </c>
      <c r="Y6" s="45">
        <v>31.7</v>
      </c>
      <c r="Z6" s="45">
        <v>102.4</v>
      </c>
      <c r="AA6" s="45">
        <v>178</v>
      </c>
      <c r="AB6" s="45">
        <v>243.8</v>
      </c>
      <c r="AC6" s="45">
        <v>365.7</v>
      </c>
      <c r="AD6" s="46">
        <v>487.6</v>
      </c>
    </row>
    <row r="7" spans="6:30" ht="16.05" customHeight="1" x14ac:dyDescent="0.3">
      <c r="F7" s="6">
        <v>43.8</v>
      </c>
      <c r="G7" s="1">
        <v>0</v>
      </c>
      <c r="H7" s="1">
        <v>0</v>
      </c>
      <c r="I7" s="1">
        <v>0.6</v>
      </c>
      <c r="J7" s="1">
        <v>4.9000000000000004</v>
      </c>
      <c r="K7" s="1">
        <v>1.1000000000000001</v>
      </c>
      <c r="L7" s="1">
        <v>31.7</v>
      </c>
      <c r="M7" s="1">
        <v>1.7</v>
      </c>
      <c r="N7" s="1">
        <v>102.4</v>
      </c>
      <c r="O7" s="1">
        <v>2.1</v>
      </c>
      <c r="P7" s="1">
        <v>178</v>
      </c>
      <c r="Q7" s="1">
        <v>2.2999999999999998</v>
      </c>
      <c r="R7" s="1">
        <v>243.8</v>
      </c>
      <c r="S7" s="1"/>
      <c r="T7" s="41">
        <v>2</v>
      </c>
      <c r="U7" s="45">
        <v>27.9</v>
      </c>
      <c r="V7" s="43" t="s">
        <v>30</v>
      </c>
      <c r="W7" s="44">
        <v>0</v>
      </c>
      <c r="X7" s="45">
        <v>0.5</v>
      </c>
      <c r="Y7" s="45">
        <v>0.9</v>
      </c>
      <c r="Z7" s="45">
        <v>1.4</v>
      </c>
      <c r="AA7" s="45">
        <v>1.7</v>
      </c>
      <c r="AB7" s="45">
        <v>1.9</v>
      </c>
      <c r="AC7" s="45">
        <v>1.9</v>
      </c>
      <c r="AD7" s="46">
        <v>1.9</v>
      </c>
    </row>
    <row r="8" spans="6:30" ht="16.05" customHeight="1" x14ac:dyDescent="0.3">
      <c r="F8" s="6">
        <v>65</v>
      </c>
      <c r="G8" s="1">
        <v>0</v>
      </c>
      <c r="H8" s="1">
        <v>0</v>
      </c>
      <c r="I8" s="1">
        <v>0.8</v>
      </c>
      <c r="J8" s="1">
        <v>4.9000000000000004</v>
      </c>
      <c r="K8" s="1">
        <v>1.7</v>
      </c>
      <c r="L8" s="1">
        <v>31.7</v>
      </c>
      <c r="M8" s="1">
        <v>2.5</v>
      </c>
      <c r="N8" s="1">
        <v>102.4</v>
      </c>
      <c r="O8" s="1">
        <v>3</v>
      </c>
      <c r="P8" s="1">
        <v>178</v>
      </c>
      <c r="Q8" s="1">
        <v>3.4</v>
      </c>
      <c r="R8" s="1">
        <v>243.8</v>
      </c>
      <c r="S8" s="1"/>
      <c r="T8" s="41"/>
      <c r="U8" s="42"/>
      <c r="V8" s="43" t="s">
        <v>29</v>
      </c>
      <c r="W8" s="44">
        <v>0</v>
      </c>
      <c r="X8" s="45">
        <v>4.9000000000000004</v>
      </c>
      <c r="Y8" s="45">
        <v>31.7</v>
      </c>
      <c r="Z8" s="45">
        <v>102.4</v>
      </c>
      <c r="AA8" s="45">
        <v>178</v>
      </c>
      <c r="AB8" s="45">
        <v>243.8</v>
      </c>
      <c r="AC8" s="45">
        <v>365.7</v>
      </c>
      <c r="AD8" s="46">
        <v>487.6</v>
      </c>
    </row>
    <row r="9" spans="6:30" ht="16.05" customHeight="1" x14ac:dyDescent="0.3">
      <c r="F9" s="6">
        <v>91.8</v>
      </c>
      <c r="G9" s="1">
        <v>0</v>
      </c>
      <c r="H9" s="1">
        <v>0</v>
      </c>
      <c r="I9" s="1">
        <v>1.6</v>
      </c>
      <c r="J9" s="1">
        <v>4.9000000000000004</v>
      </c>
      <c r="K9" s="1">
        <v>3.2</v>
      </c>
      <c r="L9" s="1">
        <v>31.7</v>
      </c>
      <c r="M9" s="1">
        <v>4.7</v>
      </c>
      <c r="N9" s="1">
        <v>102.4</v>
      </c>
      <c r="O9" s="1">
        <v>5.7</v>
      </c>
      <c r="P9" s="1">
        <v>178</v>
      </c>
      <c r="Q9" s="1">
        <v>6.3</v>
      </c>
      <c r="R9" s="1">
        <v>243.8</v>
      </c>
      <c r="S9" s="1"/>
      <c r="T9" s="41">
        <v>3</v>
      </c>
      <c r="U9" s="45">
        <v>40.9</v>
      </c>
      <c r="V9" s="43" t="s">
        <v>30</v>
      </c>
      <c r="W9" s="44">
        <v>0</v>
      </c>
      <c r="X9" s="45">
        <v>1.8</v>
      </c>
      <c r="Y9" s="45">
        <v>3.5</v>
      </c>
      <c r="Z9" s="45">
        <v>5.3</v>
      </c>
      <c r="AA9" s="45">
        <v>6.4</v>
      </c>
      <c r="AB9" s="45">
        <v>7.1</v>
      </c>
      <c r="AC9" s="45">
        <v>7.1</v>
      </c>
      <c r="AD9" s="46">
        <v>7.1</v>
      </c>
    </row>
    <row r="10" spans="6:30" ht="16.05" customHeight="1" x14ac:dyDescent="0.3">
      <c r="F10" s="6">
        <v>104.9</v>
      </c>
      <c r="G10" s="1">
        <v>0</v>
      </c>
      <c r="H10" s="1">
        <v>0</v>
      </c>
      <c r="I10" s="1">
        <v>1.6</v>
      </c>
      <c r="J10" s="1">
        <v>4.9000000000000004</v>
      </c>
      <c r="K10" s="1">
        <v>3.2</v>
      </c>
      <c r="L10" s="1">
        <v>31.7</v>
      </c>
      <c r="M10" s="1">
        <v>4.7</v>
      </c>
      <c r="N10" s="1">
        <v>102.4</v>
      </c>
      <c r="O10" s="1">
        <v>5.7</v>
      </c>
      <c r="P10" s="1">
        <v>178</v>
      </c>
      <c r="Q10" s="1">
        <v>6.3</v>
      </c>
      <c r="R10" s="1">
        <v>243.8</v>
      </c>
      <c r="S10" s="1"/>
      <c r="T10" s="41"/>
      <c r="U10" s="42"/>
      <c r="V10" s="43" t="s">
        <v>29</v>
      </c>
      <c r="W10" s="44">
        <v>0</v>
      </c>
      <c r="X10" s="45">
        <v>4.9000000000000004</v>
      </c>
      <c r="Y10" s="45">
        <v>31.7</v>
      </c>
      <c r="Z10" s="45">
        <v>102.4</v>
      </c>
      <c r="AA10" s="45">
        <v>178</v>
      </c>
      <c r="AB10" s="45">
        <v>243.8</v>
      </c>
      <c r="AC10" s="45">
        <v>365.7</v>
      </c>
      <c r="AD10" s="46">
        <v>487.6</v>
      </c>
    </row>
    <row r="11" spans="6:30" ht="16.05" customHeight="1" x14ac:dyDescent="0.3">
      <c r="F11" s="6">
        <v>125</v>
      </c>
      <c r="G11" s="1">
        <v>0</v>
      </c>
      <c r="H11" s="1">
        <v>0</v>
      </c>
      <c r="I11" s="1">
        <v>2.5</v>
      </c>
      <c r="J11" s="1">
        <v>4.9000000000000004</v>
      </c>
      <c r="K11" s="1">
        <v>5</v>
      </c>
      <c r="L11" s="1">
        <v>31.7</v>
      </c>
      <c r="M11" s="1">
        <v>7.5</v>
      </c>
      <c r="N11" s="1">
        <v>102.4</v>
      </c>
      <c r="O11" s="1">
        <v>9</v>
      </c>
      <c r="P11" s="1">
        <v>178</v>
      </c>
      <c r="Q11" s="1">
        <v>10</v>
      </c>
      <c r="R11" s="1">
        <v>243.8</v>
      </c>
      <c r="S11" s="1"/>
      <c r="T11" s="41">
        <v>4</v>
      </c>
      <c r="U11" s="45">
        <v>65</v>
      </c>
      <c r="V11" s="43" t="s">
        <v>30</v>
      </c>
      <c r="W11" s="44">
        <v>0</v>
      </c>
      <c r="X11" s="45">
        <v>0.8</v>
      </c>
      <c r="Y11" s="45">
        <v>1.7</v>
      </c>
      <c r="Z11" s="45">
        <v>2.5</v>
      </c>
      <c r="AA11" s="45">
        <v>3</v>
      </c>
      <c r="AB11" s="45">
        <v>3.4</v>
      </c>
      <c r="AC11" s="45">
        <v>3.4</v>
      </c>
      <c r="AD11" s="46">
        <v>3.4</v>
      </c>
    </row>
    <row r="12" spans="6:30" ht="16.05" customHeight="1" x14ac:dyDescent="0.3">
      <c r="F12" s="6">
        <v>126</v>
      </c>
      <c r="G12" s="1">
        <v>0</v>
      </c>
      <c r="H12" s="1">
        <v>0</v>
      </c>
      <c r="I12" s="1">
        <v>2.4</v>
      </c>
      <c r="J12" s="1">
        <v>4.9000000000000004</v>
      </c>
      <c r="K12" s="1">
        <v>4.7</v>
      </c>
      <c r="L12" s="1">
        <v>31.7</v>
      </c>
      <c r="M12" s="1">
        <v>7.1</v>
      </c>
      <c r="N12" s="1">
        <v>102.4</v>
      </c>
      <c r="O12" s="1">
        <v>8.5</v>
      </c>
      <c r="P12" s="1">
        <v>178</v>
      </c>
      <c r="Q12" s="1">
        <v>9.5</v>
      </c>
      <c r="R12" s="1">
        <v>243.8</v>
      </c>
      <c r="S12" s="1"/>
      <c r="T12" s="41"/>
      <c r="U12" s="42"/>
      <c r="V12" s="43" t="s">
        <v>29</v>
      </c>
      <c r="W12" s="44">
        <v>0</v>
      </c>
      <c r="X12" s="45">
        <v>4.9000000000000004</v>
      </c>
      <c r="Y12" s="45">
        <v>31.7</v>
      </c>
      <c r="Z12" s="45">
        <v>102.4</v>
      </c>
      <c r="AA12" s="45">
        <v>178</v>
      </c>
      <c r="AB12" s="45">
        <v>243.8</v>
      </c>
      <c r="AC12" s="45">
        <v>365.7</v>
      </c>
      <c r="AD12" s="46">
        <v>487.6</v>
      </c>
    </row>
    <row r="13" spans="6:30" ht="16.05" customHeight="1" x14ac:dyDescent="0.3">
      <c r="T13" s="41">
        <v>5</v>
      </c>
      <c r="U13" s="45">
        <v>78.900000000000006</v>
      </c>
      <c r="V13" s="43" t="s">
        <v>30</v>
      </c>
      <c r="W13" s="44">
        <v>0</v>
      </c>
      <c r="X13" s="45">
        <v>6.5</v>
      </c>
      <c r="Y13" s="45">
        <v>13</v>
      </c>
      <c r="Z13" s="45">
        <v>19.399999999999999</v>
      </c>
      <c r="AA13" s="45">
        <v>23.3</v>
      </c>
      <c r="AB13" s="45">
        <v>25.9</v>
      </c>
      <c r="AC13" s="45">
        <v>25.9</v>
      </c>
      <c r="AD13" s="46">
        <v>25.9</v>
      </c>
    </row>
    <row r="14" spans="6:30" ht="16.05" customHeight="1" x14ac:dyDescent="0.3">
      <c r="T14" s="41"/>
      <c r="U14" s="42"/>
      <c r="V14" s="43" t="s">
        <v>29</v>
      </c>
      <c r="W14" s="44">
        <v>0</v>
      </c>
      <c r="X14" s="45">
        <v>4.9000000000000004</v>
      </c>
      <c r="Y14" s="45">
        <v>31.7</v>
      </c>
      <c r="Z14" s="45">
        <v>102.4</v>
      </c>
      <c r="AA14" s="45">
        <v>178</v>
      </c>
      <c r="AB14" s="45">
        <v>243.8</v>
      </c>
      <c r="AC14" s="45">
        <v>365.7</v>
      </c>
      <c r="AD14" s="46">
        <v>487.6</v>
      </c>
    </row>
    <row r="15" spans="6:30" ht="16.05" customHeight="1" x14ac:dyDescent="0.3">
      <c r="T15" s="41">
        <v>6</v>
      </c>
      <c r="U15" s="45">
        <v>91.8</v>
      </c>
      <c r="V15" s="43" t="s">
        <v>30</v>
      </c>
      <c r="W15" s="44">
        <v>0</v>
      </c>
      <c r="X15" s="45">
        <v>1.6</v>
      </c>
      <c r="Y15" s="45">
        <v>3.2</v>
      </c>
      <c r="Z15" s="45">
        <v>4.7</v>
      </c>
      <c r="AA15" s="45">
        <v>5.7</v>
      </c>
      <c r="AB15" s="45">
        <v>6.3</v>
      </c>
      <c r="AC15" s="45">
        <v>6.3</v>
      </c>
      <c r="AD15" s="46">
        <v>6.3</v>
      </c>
    </row>
    <row r="16" spans="6:30" ht="16.05" customHeight="1" x14ac:dyDescent="0.3">
      <c r="T16" s="41"/>
      <c r="U16" s="42"/>
      <c r="V16" s="43" t="s">
        <v>29</v>
      </c>
      <c r="W16" s="44">
        <v>0</v>
      </c>
      <c r="X16" s="45">
        <v>4.9000000000000004</v>
      </c>
      <c r="Y16" s="45">
        <v>31.7</v>
      </c>
      <c r="Z16" s="45">
        <v>102.4</v>
      </c>
      <c r="AA16" s="45">
        <v>178</v>
      </c>
      <c r="AB16" s="45">
        <v>243.8</v>
      </c>
      <c r="AC16" s="45">
        <v>365.7</v>
      </c>
      <c r="AD16" s="46">
        <v>487.6</v>
      </c>
    </row>
    <row r="17" spans="20:30" ht="16.05" customHeight="1" x14ac:dyDescent="0.3">
      <c r="T17" s="41">
        <v>7</v>
      </c>
      <c r="U17" s="45">
        <v>104.9</v>
      </c>
      <c r="V17" s="43" t="s">
        <v>30</v>
      </c>
      <c r="W17" s="44">
        <v>0</v>
      </c>
      <c r="X17" s="45">
        <v>1.6</v>
      </c>
      <c r="Y17" s="45">
        <v>3.2</v>
      </c>
      <c r="Z17" s="45">
        <v>4.7</v>
      </c>
      <c r="AA17" s="45">
        <v>5.7</v>
      </c>
      <c r="AB17" s="45">
        <v>6.3</v>
      </c>
      <c r="AC17" s="45">
        <v>6.3</v>
      </c>
      <c r="AD17" s="46">
        <v>6.3</v>
      </c>
    </row>
    <row r="18" spans="20:30" ht="16.05" customHeight="1" thickBot="1" x14ac:dyDescent="0.35">
      <c r="T18" s="47"/>
      <c r="U18" s="48"/>
      <c r="V18" s="49" t="s">
        <v>29</v>
      </c>
      <c r="W18" s="50">
        <v>0</v>
      </c>
      <c r="X18" s="51">
        <v>4.9000000000000004</v>
      </c>
      <c r="Y18" s="51">
        <v>31.7</v>
      </c>
      <c r="Z18" s="51">
        <v>102.4</v>
      </c>
      <c r="AA18" s="51">
        <v>178</v>
      </c>
      <c r="AB18" s="51">
        <v>243.8</v>
      </c>
      <c r="AC18" s="51">
        <v>365.7</v>
      </c>
      <c r="AD18" s="52">
        <v>487.6</v>
      </c>
    </row>
  </sheetData>
  <mergeCells count="1">
    <mergeCell ref="T3:A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6"/>
  <sheetViews>
    <sheetView zoomScale="80" zoomScaleNormal="80" workbookViewId="0">
      <selection activeCell="B1" sqref="B1:N36"/>
    </sheetView>
  </sheetViews>
  <sheetFormatPr defaultRowHeight="14.4" x14ac:dyDescent="0.3"/>
  <cols>
    <col min="2" max="2" width="8.88671875" style="4"/>
    <col min="3" max="3" width="9.33203125" customWidth="1"/>
    <col min="7" max="7" width="12" customWidth="1"/>
  </cols>
  <sheetData>
    <row r="1" spans="2:21" x14ac:dyDescent="0.3">
      <c r="B1" s="53"/>
      <c r="C1" s="10" t="str">
        <f>'t-z data'!P1</f>
        <v>Mudline = -55.5</v>
      </c>
      <c r="D1" s="10"/>
      <c r="E1" s="10"/>
      <c r="F1" s="10" t="s">
        <v>35</v>
      </c>
      <c r="G1" s="10"/>
      <c r="H1" s="10" t="s">
        <v>22</v>
      </c>
      <c r="I1" s="10"/>
      <c r="J1" s="10"/>
      <c r="K1" s="10"/>
      <c r="L1" s="10"/>
      <c r="M1" s="10"/>
      <c r="N1" s="10"/>
    </row>
    <row r="2" spans="2:21" x14ac:dyDescent="0.3">
      <c r="B2" s="53"/>
      <c r="C2" s="10" t="str">
        <f>'t-z data'!P2</f>
        <v>Pile Diameter = 121.92 cm</v>
      </c>
      <c r="D2" s="10"/>
      <c r="E2" s="10"/>
      <c r="F2" s="10" t="s">
        <v>36</v>
      </c>
      <c r="G2" s="10"/>
      <c r="H2" s="10" t="s">
        <v>23</v>
      </c>
      <c r="I2" s="10"/>
      <c r="J2" s="10"/>
      <c r="K2" s="10"/>
      <c r="L2" s="10"/>
      <c r="M2" s="10"/>
      <c r="N2" s="10"/>
    </row>
    <row r="3" spans="2:21" ht="15" thickBot="1" x14ac:dyDescent="0.35">
      <c r="B3" s="65" t="s">
        <v>43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21" ht="24.6" thickBot="1" x14ac:dyDescent="0.35">
      <c r="B4" s="35" t="s">
        <v>37</v>
      </c>
      <c r="C4" s="12" t="s">
        <v>38</v>
      </c>
      <c r="D4" s="54"/>
      <c r="E4" s="14">
        <v>1</v>
      </c>
      <c r="F4" s="15">
        <v>2</v>
      </c>
      <c r="G4" s="15">
        <v>3</v>
      </c>
      <c r="H4" s="15">
        <v>4</v>
      </c>
      <c r="I4" s="15">
        <v>5</v>
      </c>
      <c r="J4" s="15">
        <v>6</v>
      </c>
      <c r="K4" s="15">
        <v>7</v>
      </c>
      <c r="L4" s="15">
        <v>8</v>
      </c>
      <c r="M4" s="15">
        <v>9</v>
      </c>
      <c r="N4" s="13">
        <v>10</v>
      </c>
      <c r="P4" s="8"/>
      <c r="Q4" s="8"/>
      <c r="R4" s="8"/>
      <c r="S4" s="8"/>
      <c r="T4" s="8"/>
      <c r="U4" s="8"/>
    </row>
    <row r="5" spans="2:21" x14ac:dyDescent="0.3">
      <c r="B5" s="55">
        <v>1</v>
      </c>
      <c r="C5" s="56">
        <v>0</v>
      </c>
      <c r="D5" s="57" t="s">
        <v>20</v>
      </c>
      <c r="E5" s="58">
        <v>0</v>
      </c>
      <c r="F5" s="56">
        <v>0</v>
      </c>
      <c r="G5" s="59"/>
      <c r="H5" s="59"/>
      <c r="I5" s="59"/>
      <c r="J5" s="59"/>
      <c r="K5" s="59"/>
      <c r="L5" s="59"/>
      <c r="M5" s="59"/>
      <c r="N5" s="60"/>
    </row>
    <row r="6" spans="2:21" x14ac:dyDescent="0.3">
      <c r="B6" s="61"/>
      <c r="C6" s="45"/>
      <c r="D6" s="43" t="s">
        <v>21</v>
      </c>
      <c r="E6" s="44">
        <v>0</v>
      </c>
      <c r="F6" s="45">
        <v>1945.3</v>
      </c>
      <c r="G6" s="42"/>
      <c r="H6" s="42"/>
      <c r="I6" s="42"/>
      <c r="J6" s="42"/>
      <c r="K6" s="42"/>
      <c r="L6" s="42"/>
      <c r="M6" s="42"/>
      <c r="N6" s="62"/>
    </row>
    <row r="7" spans="2:21" x14ac:dyDescent="0.3">
      <c r="B7" s="61">
        <v>2</v>
      </c>
      <c r="C7" s="45">
        <v>3</v>
      </c>
      <c r="D7" s="43" t="s">
        <v>20</v>
      </c>
      <c r="E7" s="44">
        <v>0</v>
      </c>
      <c r="F7" s="45">
        <v>12.93</v>
      </c>
      <c r="G7" s="45">
        <v>16.29</v>
      </c>
      <c r="H7" s="45">
        <v>23.49</v>
      </c>
      <c r="I7" s="45">
        <v>27.85</v>
      </c>
      <c r="J7" s="45">
        <v>35.090000000000003</v>
      </c>
      <c r="K7" s="45">
        <v>44.21</v>
      </c>
      <c r="L7" s="45">
        <v>50.6</v>
      </c>
      <c r="M7" s="45">
        <v>1.1100000000000001</v>
      </c>
      <c r="N7" s="46">
        <v>1.1100000000000001</v>
      </c>
    </row>
    <row r="8" spans="2:21" x14ac:dyDescent="0.3">
      <c r="B8" s="61"/>
      <c r="C8" s="45"/>
      <c r="D8" s="43" t="s">
        <v>21</v>
      </c>
      <c r="E8" s="44">
        <v>0</v>
      </c>
      <c r="F8" s="45">
        <v>6.08</v>
      </c>
      <c r="G8" s="45">
        <v>12.16</v>
      </c>
      <c r="H8" s="45">
        <v>36.47</v>
      </c>
      <c r="I8" s="45">
        <v>60.79</v>
      </c>
      <c r="J8" s="45">
        <v>121.58</v>
      </c>
      <c r="K8" s="45">
        <v>243.16</v>
      </c>
      <c r="L8" s="45">
        <v>364.74</v>
      </c>
      <c r="M8" s="45">
        <v>1823.7</v>
      </c>
      <c r="N8" s="46">
        <v>1945.3</v>
      </c>
    </row>
    <row r="9" spans="2:21" x14ac:dyDescent="0.3">
      <c r="B9" s="61">
        <v>3</v>
      </c>
      <c r="C9" s="45">
        <v>6</v>
      </c>
      <c r="D9" s="43" t="s">
        <v>20</v>
      </c>
      <c r="E9" s="44">
        <v>0</v>
      </c>
      <c r="F9" s="45">
        <v>48.23</v>
      </c>
      <c r="G9" s="45">
        <v>60.77</v>
      </c>
      <c r="H9" s="45">
        <v>87.64</v>
      </c>
      <c r="I9" s="45">
        <v>103.91</v>
      </c>
      <c r="J9" s="45">
        <v>130.91999999999999</v>
      </c>
      <c r="K9" s="45">
        <v>164.95</v>
      </c>
      <c r="L9" s="45">
        <v>188.82</v>
      </c>
      <c r="M9" s="45">
        <v>18.170000000000002</v>
      </c>
      <c r="N9" s="46">
        <v>18.170000000000002</v>
      </c>
    </row>
    <row r="10" spans="2:21" x14ac:dyDescent="0.3">
      <c r="B10" s="61"/>
      <c r="C10" s="45"/>
      <c r="D10" s="43" t="s">
        <v>21</v>
      </c>
      <c r="E10" s="44">
        <v>0</v>
      </c>
      <c r="F10" s="45">
        <v>3.05</v>
      </c>
      <c r="G10" s="45">
        <v>6.1</v>
      </c>
      <c r="H10" s="45">
        <v>18.29</v>
      </c>
      <c r="I10" s="45">
        <v>30.48</v>
      </c>
      <c r="J10" s="45">
        <v>60.95</v>
      </c>
      <c r="K10" s="45">
        <v>121.9</v>
      </c>
      <c r="L10" s="45">
        <v>182.85</v>
      </c>
      <c r="M10" s="45">
        <v>914.25</v>
      </c>
      <c r="N10" s="46">
        <v>975.2</v>
      </c>
    </row>
    <row r="11" spans="2:21" x14ac:dyDescent="0.3">
      <c r="B11" s="61">
        <v>4</v>
      </c>
      <c r="C11" s="45">
        <v>9</v>
      </c>
      <c r="D11" s="43" t="s">
        <v>20</v>
      </c>
      <c r="E11" s="44">
        <v>0</v>
      </c>
      <c r="F11" s="45">
        <v>116.49</v>
      </c>
      <c r="G11" s="45">
        <v>146.77000000000001</v>
      </c>
      <c r="H11" s="45">
        <v>211.68</v>
      </c>
      <c r="I11" s="45">
        <v>250.97</v>
      </c>
      <c r="J11" s="45">
        <v>316.20999999999998</v>
      </c>
      <c r="K11" s="45">
        <v>398.4</v>
      </c>
      <c r="L11" s="45">
        <v>456.05</v>
      </c>
      <c r="M11" s="45">
        <v>210.34</v>
      </c>
      <c r="N11" s="46">
        <v>210.34</v>
      </c>
    </row>
    <row r="12" spans="2:21" x14ac:dyDescent="0.3">
      <c r="B12" s="61"/>
      <c r="C12" s="45"/>
      <c r="D12" s="43" t="s">
        <v>21</v>
      </c>
      <c r="E12" s="44">
        <v>0</v>
      </c>
      <c r="F12" s="45">
        <v>3.05</v>
      </c>
      <c r="G12" s="45">
        <v>6.1</v>
      </c>
      <c r="H12" s="45">
        <v>18.29</v>
      </c>
      <c r="I12" s="45">
        <v>30.48</v>
      </c>
      <c r="J12" s="45">
        <v>60.95</v>
      </c>
      <c r="K12" s="45">
        <v>121.9</v>
      </c>
      <c r="L12" s="45">
        <v>182.85</v>
      </c>
      <c r="M12" s="45">
        <v>914.25</v>
      </c>
      <c r="N12" s="46">
        <v>975.2</v>
      </c>
    </row>
    <row r="13" spans="2:21" x14ac:dyDescent="0.3">
      <c r="B13" s="61">
        <v>5</v>
      </c>
      <c r="C13" s="45">
        <v>15.05</v>
      </c>
      <c r="D13" s="43" t="s">
        <v>20</v>
      </c>
      <c r="E13" s="44">
        <v>0</v>
      </c>
      <c r="F13" s="45">
        <v>80.91</v>
      </c>
      <c r="G13" s="45">
        <v>101.94</v>
      </c>
      <c r="H13" s="45">
        <v>147.03</v>
      </c>
      <c r="I13" s="45">
        <v>174.32</v>
      </c>
      <c r="J13" s="45">
        <v>219.63</v>
      </c>
      <c r="K13" s="45">
        <v>276.72000000000003</v>
      </c>
      <c r="L13" s="45">
        <v>316.76</v>
      </c>
      <c r="M13" s="45">
        <v>316.76</v>
      </c>
      <c r="N13" s="46">
        <v>316.76</v>
      </c>
    </row>
    <row r="14" spans="2:21" x14ac:dyDescent="0.3">
      <c r="B14" s="61"/>
      <c r="C14" s="45"/>
      <c r="D14" s="43" t="s">
        <v>21</v>
      </c>
      <c r="E14" s="44">
        <v>0</v>
      </c>
      <c r="F14" s="45">
        <v>6.09</v>
      </c>
      <c r="G14" s="45">
        <v>12.19</v>
      </c>
      <c r="H14" s="45">
        <v>36.56</v>
      </c>
      <c r="I14" s="45">
        <v>60.93</v>
      </c>
      <c r="J14" s="45">
        <v>121.85</v>
      </c>
      <c r="K14" s="45">
        <v>243.71</v>
      </c>
      <c r="L14" s="45">
        <v>365.56</v>
      </c>
      <c r="M14" s="45">
        <v>1827.8</v>
      </c>
      <c r="N14" s="46">
        <v>1949.7</v>
      </c>
    </row>
    <row r="15" spans="2:21" hidden="1" x14ac:dyDescent="0.3">
      <c r="B15" s="61"/>
      <c r="C15" s="45">
        <v>19.5</v>
      </c>
      <c r="D15" s="43" t="s">
        <v>20</v>
      </c>
      <c r="E15" s="44">
        <v>0</v>
      </c>
      <c r="F15" s="45">
        <v>116.59</v>
      </c>
      <c r="G15" s="45">
        <v>146.88999999999999</v>
      </c>
      <c r="H15" s="45">
        <v>211.86</v>
      </c>
      <c r="I15" s="45">
        <v>251.18</v>
      </c>
      <c r="J15" s="45">
        <v>316.47000000000003</v>
      </c>
      <c r="K15" s="45">
        <v>398.73</v>
      </c>
      <c r="L15" s="45">
        <v>456.43</v>
      </c>
      <c r="M15" s="45">
        <v>456.43</v>
      </c>
      <c r="N15" s="46">
        <v>456.43</v>
      </c>
    </row>
    <row r="16" spans="2:21" hidden="1" x14ac:dyDescent="0.3">
      <c r="B16" s="61"/>
      <c r="C16" s="45"/>
      <c r="D16" s="43" t="s">
        <v>21</v>
      </c>
      <c r="E16" s="44">
        <v>0</v>
      </c>
      <c r="F16" s="45">
        <v>5.0199999999999996</v>
      </c>
      <c r="G16" s="45">
        <v>10.029999999999999</v>
      </c>
      <c r="H16" s="45">
        <v>30.1</v>
      </c>
      <c r="I16" s="45">
        <v>50.17</v>
      </c>
      <c r="J16" s="45">
        <v>100.33</v>
      </c>
      <c r="K16" s="45">
        <v>200.67</v>
      </c>
      <c r="L16" s="45">
        <v>301</v>
      </c>
      <c r="M16" s="45">
        <v>1505.04</v>
      </c>
      <c r="N16" s="46">
        <v>1605.3</v>
      </c>
    </row>
    <row r="17" spans="2:14" hidden="1" x14ac:dyDescent="0.3">
      <c r="B17" s="61"/>
      <c r="C17" s="45">
        <v>22</v>
      </c>
      <c r="D17" s="43" t="s">
        <v>20</v>
      </c>
      <c r="E17" s="44">
        <v>0</v>
      </c>
      <c r="F17" s="45">
        <v>136.02000000000001</v>
      </c>
      <c r="G17" s="45">
        <v>171.38</v>
      </c>
      <c r="H17" s="45">
        <v>247.17</v>
      </c>
      <c r="I17" s="45">
        <v>293.05</v>
      </c>
      <c r="J17" s="45">
        <v>369.22</v>
      </c>
      <c r="K17" s="45">
        <v>465.18</v>
      </c>
      <c r="L17" s="45">
        <v>532.5</v>
      </c>
      <c r="M17" s="45">
        <v>532.5</v>
      </c>
      <c r="N17" s="46">
        <v>532.5</v>
      </c>
    </row>
    <row r="18" spans="2:14" hidden="1" x14ac:dyDescent="0.3">
      <c r="B18" s="61"/>
      <c r="C18" s="45"/>
      <c r="D18" s="43" t="s">
        <v>21</v>
      </c>
      <c r="E18" s="44">
        <v>0</v>
      </c>
      <c r="F18" s="45">
        <v>4.43</v>
      </c>
      <c r="G18" s="45">
        <v>8.86</v>
      </c>
      <c r="H18" s="45">
        <v>26.58</v>
      </c>
      <c r="I18" s="45">
        <v>44.31</v>
      </c>
      <c r="J18" s="45">
        <v>88.61</v>
      </c>
      <c r="K18" s="45">
        <v>177.22</v>
      </c>
      <c r="L18" s="45">
        <v>265.83999999999997</v>
      </c>
      <c r="M18" s="45">
        <v>1329.2</v>
      </c>
      <c r="N18" s="46">
        <v>1414.8</v>
      </c>
    </row>
    <row r="19" spans="2:14" hidden="1" x14ac:dyDescent="0.3">
      <c r="B19" s="61"/>
      <c r="C19" s="45">
        <v>24</v>
      </c>
      <c r="D19" s="43" t="s">
        <v>20</v>
      </c>
      <c r="E19" s="44">
        <v>0</v>
      </c>
      <c r="F19" s="45">
        <v>151.57</v>
      </c>
      <c r="G19" s="45">
        <v>190.96</v>
      </c>
      <c r="H19" s="45">
        <v>275.41000000000003</v>
      </c>
      <c r="I19" s="45">
        <v>326.54000000000002</v>
      </c>
      <c r="J19" s="45">
        <v>411.41</v>
      </c>
      <c r="K19" s="45">
        <v>518.35</v>
      </c>
      <c r="L19" s="45">
        <v>593.36</v>
      </c>
      <c r="M19" s="45">
        <v>593.36</v>
      </c>
      <c r="N19" s="46">
        <v>593.36</v>
      </c>
    </row>
    <row r="20" spans="2:14" hidden="1" x14ac:dyDescent="0.3">
      <c r="B20" s="61"/>
      <c r="C20" s="45"/>
      <c r="D20" s="43" t="s">
        <v>21</v>
      </c>
      <c r="E20" s="44">
        <v>0</v>
      </c>
      <c r="F20" s="45">
        <v>3.96</v>
      </c>
      <c r="G20" s="45">
        <v>7.92</v>
      </c>
      <c r="H20" s="45">
        <v>23.77</v>
      </c>
      <c r="I20" s="45">
        <v>39.619999999999997</v>
      </c>
      <c r="J20" s="45">
        <v>79.23</v>
      </c>
      <c r="K20" s="45">
        <v>158.47</v>
      </c>
      <c r="L20" s="45">
        <v>237.7</v>
      </c>
      <c r="M20" s="45">
        <v>1188.5</v>
      </c>
      <c r="N20" s="46">
        <v>1267.8</v>
      </c>
    </row>
    <row r="21" spans="2:14" x14ac:dyDescent="0.3">
      <c r="B21" s="61">
        <v>6</v>
      </c>
      <c r="C21" s="45">
        <v>26</v>
      </c>
      <c r="D21" s="43" t="s">
        <v>20</v>
      </c>
      <c r="E21" s="44">
        <v>0</v>
      </c>
      <c r="F21" s="45">
        <v>167.11</v>
      </c>
      <c r="G21" s="45">
        <v>210.55</v>
      </c>
      <c r="H21" s="45">
        <v>303.66000000000003</v>
      </c>
      <c r="I21" s="45">
        <v>360.03</v>
      </c>
      <c r="J21" s="45">
        <v>453.61</v>
      </c>
      <c r="K21" s="45">
        <v>571.51</v>
      </c>
      <c r="L21" s="45">
        <v>654.22</v>
      </c>
      <c r="M21" s="45">
        <v>654.22</v>
      </c>
      <c r="N21" s="46">
        <v>654.22</v>
      </c>
    </row>
    <row r="22" spans="2:14" x14ac:dyDescent="0.3">
      <c r="B22" s="61"/>
      <c r="C22" s="45"/>
      <c r="D22" s="43" t="s">
        <v>21</v>
      </c>
      <c r="E22" s="44">
        <v>0</v>
      </c>
      <c r="F22" s="45">
        <v>3.49</v>
      </c>
      <c r="G22" s="45">
        <v>6.99</v>
      </c>
      <c r="H22" s="45">
        <v>20.96</v>
      </c>
      <c r="I22" s="45">
        <v>34.93</v>
      </c>
      <c r="J22" s="45">
        <v>69.86</v>
      </c>
      <c r="K22" s="45">
        <v>139.72</v>
      </c>
      <c r="L22" s="45">
        <v>209.57</v>
      </c>
      <c r="M22" s="45">
        <v>1047.9000000000001</v>
      </c>
      <c r="N22" s="46">
        <v>1117.7</v>
      </c>
    </row>
    <row r="23" spans="2:14" x14ac:dyDescent="0.3">
      <c r="B23" s="61">
        <v>7</v>
      </c>
      <c r="C23" s="45">
        <v>31.25</v>
      </c>
      <c r="D23" s="43" t="s">
        <v>20</v>
      </c>
      <c r="E23" s="44">
        <v>0</v>
      </c>
      <c r="F23" s="45">
        <v>141.52000000000001</v>
      </c>
      <c r="G23" s="45">
        <v>178.3</v>
      </c>
      <c r="H23" s="45">
        <v>257.16000000000003</v>
      </c>
      <c r="I23" s="45">
        <v>304.89999999999998</v>
      </c>
      <c r="J23" s="45">
        <v>384.15</v>
      </c>
      <c r="K23" s="45">
        <v>483.99</v>
      </c>
      <c r="L23" s="45">
        <v>554.03</v>
      </c>
      <c r="M23" s="45">
        <v>554.03</v>
      </c>
      <c r="N23" s="46">
        <v>554.03</v>
      </c>
    </row>
    <row r="24" spans="2:14" x14ac:dyDescent="0.3">
      <c r="B24" s="61"/>
      <c r="C24" s="45"/>
      <c r="D24" s="43" t="s">
        <v>21</v>
      </c>
      <c r="E24" s="44">
        <v>0</v>
      </c>
      <c r="F24" s="45">
        <v>3.05</v>
      </c>
      <c r="G24" s="45">
        <v>6.1</v>
      </c>
      <c r="H24" s="45">
        <v>18.29</v>
      </c>
      <c r="I24" s="45">
        <v>30.48</v>
      </c>
      <c r="J24" s="45">
        <v>60.95</v>
      </c>
      <c r="K24" s="45">
        <v>121.9</v>
      </c>
      <c r="L24" s="45">
        <v>182.85</v>
      </c>
      <c r="M24" s="45">
        <v>914.25</v>
      </c>
      <c r="N24" s="46">
        <v>975.2</v>
      </c>
    </row>
    <row r="25" spans="2:14" x14ac:dyDescent="0.3">
      <c r="B25" s="61">
        <v>8</v>
      </c>
      <c r="C25" s="45">
        <v>43.8</v>
      </c>
      <c r="D25" s="43" t="s">
        <v>20</v>
      </c>
      <c r="E25" s="44">
        <v>0</v>
      </c>
      <c r="F25" s="45">
        <v>1664.9</v>
      </c>
      <c r="G25" s="45">
        <v>3209.3</v>
      </c>
      <c r="H25" s="45">
        <v>5632.1</v>
      </c>
      <c r="I25" s="45">
        <v>7101.2</v>
      </c>
      <c r="J25" s="45">
        <v>7876.7</v>
      </c>
      <c r="K25" s="45">
        <v>8256.2999999999993</v>
      </c>
      <c r="L25" s="45">
        <v>8435.2999999999993</v>
      </c>
      <c r="M25" s="45">
        <v>8518.1</v>
      </c>
      <c r="N25" s="46">
        <v>8556.2000000000007</v>
      </c>
    </row>
    <row r="26" spans="2:14" x14ac:dyDescent="0.3">
      <c r="B26" s="61"/>
      <c r="C26" s="45"/>
      <c r="D26" s="43" t="s">
        <v>21</v>
      </c>
      <c r="E26" s="44">
        <v>0</v>
      </c>
      <c r="F26" s="45">
        <v>4.2</v>
      </c>
      <c r="G26" s="45">
        <v>8.3000000000000007</v>
      </c>
      <c r="H26" s="45">
        <v>16.600000000000001</v>
      </c>
      <c r="I26" s="45">
        <v>24.9</v>
      </c>
      <c r="J26" s="45">
        <v>33.200000000000003</v>
      </c>
      <c r="K26" s="45">
        <v>41.5</v>
      </c>
      <c r="L26" s="45">
        <v>49.8</v>
      </c>
      <c r="M26" s="45">
        <v>58.2</v>
      </c>
      <c r="N26" s="46">
        <v>66.5</v>
      </c>
    </row>
    <row r="27" spans="2:14" x14ac:dyDescent="0.3">
      <c r="B27" s="61">
        <v>9</v>
      </c>
      <c r="C27" s="45">
        <v>50.6</v>
      </c>
      <c r="D27" s="43" t="s">
        <v>20</v>
      </c>
      <c r="E27" s="44">
        <v>0</v>
      </c>
      <c r="F27" s="45">
        <v>254.71</v>
      </c>
      <c r="G27" s="45">
        <v>320.91000000000003</v>
      </c>
      <c r="H27" s="45">
        <v>462.83</v>
      </c>
      <c r="I27" s="45">
        <v>548.75</v>
      </c>
      <c r="J27" s="45">
        <v>691.38</v>
      </c>
      <c r="K27" s="45">
        <v>871.08</v>
      </c>
      <c r="L27" s="45">
        <v>997.14</v>
      </c>
      <c r="M27" s="45">
        <v>997.14</v>
      </c>
      <c r="N27" s="46">
        <v>997.14</v>
      </c>
    </row>
    <row r="28" spans="2:14" x14ac:dyDescent="0.3">
      <c r="B28" s="61"/>
      <c r="C28" s="45"/>
      <c r="D28" s="43" t="s">
        <v>21</v>
      </c>
      <c r="E28" s="44">
        <v>0</v>
      </c>
      <c r="F28" s="45">
        <v>2.13</v>
      </c>
      <c r="G28" s="45">
        <v>4.2699999999999996</v>
      </c>
      <c r="H28" s="45">
        <v>12.8</v>
      </c>
      <c r="I28" s="45">
        <v>21.33</v>
      </c>
      <c r="J28" s="45">
        <v>42.67</v>
      </c>
      <c r="K28" s="45">
        <v>85.33</v>
      </c>
      <c r="L28" s="45">
        <v>128</v>
      </c>
      <c r="M28" s="45">
        <v>639.98</v>
      </c>
      <c r="N28" s="46">
        <v>682.64</v>
      </c>
    </row>
    <row r="29" spans="2:14" x14ac:dyDescent="0.3">
      <c r="B29" s="61">
        <v>10</v>
      </c>
      <c r="C29" s="45">
        <v>60.4</v>
      </c>
      <c r="D29" s="43" t="s">
        <v>20</v>
      </c>
      <c r="E29" s="44">
        <v>0</v>
      </c>
      <c r="F29" s="45">
        <v>301.42</v>
      </c>
      <c r="G29" s="45">
        <v>379.76</v>
      </c>
      <c r="H29" s="45">
        <v>547.71</v>
      </c>
      <c r="I29" s="45">
        <v>649.38</v>
      </c>
      <c r="J29" s="45">
        <v>818.17</v>
      </c>
      <c r="K29" s="45">
        <v>1030.8</v>
      </c>
      <c r="L29" s="45">
        <v>1180</v>
      </c>
      <c r="M29" s="45">
        <v>1180</v>
      </c>
      <c r="N29" s="46">
        <v>1180</v>
      </c>
    </row>
    <row r="30" spans="2:14" x14ac:dyDescent="0.3">
      <c r="B30" s="61"/>
      <c r="C30" s="45"/>
      <c r="D30" s="43" t="s">
        <v>21</v>
      </c>
      <c r="E30" s="44">
        <v>0</v>
      </c>
      <c r="F30" s="45">
        <v>2.13</v>
      </c>
      <c r="G30" s="45">
        <v>4.2699999999999996</v>
      </c>
      <c r="H30" s="45">
        <v>12.8</v>
      </c>
      <c r="I30" s="45">
        <v>21.33</v>
      </c>
      <c r="J30" s="45">
        <v>42.67</v>
      </c>
      <c r="K30" s="45">
        <v>85.33</v>
      </c>
      <c r="L30" s="45">
        <v>128</v>
      </c>
      <c r="M30" s="45">
        <v>639.98</v>
      </c>
      <c r="N30" s="46">
        <v>682.64</v>
      </c>
    </row>
    <row r="31" spans="2:14" x14ac:dyDescent="0.3">
      <c r="B31" s="61">
        <v>11</v>
      </c>
      <c r="C31" s="45">
        <v>74</v>
      </c>
      <c r="D31" s="43" t="s">
        <v>20</v>
      </c>
      <c r="E31" s="44">
        <v>0</v>
      </c>
      <c r="F31" s="45">
        <v>404.18</v>
      </c>
      <c r="G31" s="45">
        <v>509.23</v>
      </c>
      <c r="H31" s="45">
        <v>734.43</v>
      </c>
      <c r="I31" s="45">
        <v>870.77</v>
      </c>
      <c r="J31" s="45">
        <v>1097.0999999999999</v>
      </c>
      <c r="K31" s="45">
        <v>1382.3</v>
      </c>
      <c r="L31" s="45">
        <v>1582.3</v>
      </c>
      <c r="M31" s="45">
        <v>1582.3</v>
      </c>
      <c r="N31" s="46">
        <v>1582.3</v>
      </c>
    </row>
    <row r="32" spans="2:14" x14ac:dyDescent="0.3">
      <c r="B32" s="61"/>
      <c r="C32" s="45"/>
      <c r="D32" s="43" t="s">
        <v>21</v>
      </c>
      <c r="E32" s="44">
        <v>0</v>
      </c>
      <c r="F32" s="45">
        <v>1.52</v>
      </c>
      <c r="G32" s="45">
        <v>3.05</v>
      </c>
      <c r="H32" s="45">
        <v>9.14</v>
      </c>
      <c r="I32" s="45">
        <v>15.24</v>
      </c>
      <c r="J32" s="45">
        <v>30.48</v>
      </c>
      <c r="K32" s="45">
        <v>60.95</v>
      </c>
      <c r="L32" s="45">
        <v>91.43</v>
      </c>
      <c r="M32" s="45">
        <v>457.13</v>
      </c>
      <c r="N32" s="46">
        <v>487.6</v>
      </c>
    </row>
    <row r="33" spans="2:14" x14ac:dyDescent="0.3">
      <c r="B33" s="61">
        <v>12</v>
      </c>
      <c r="C33" s="45">
        <v>91.8</v>
      </c>
      <c r="D33" s="43" t="s">
        <v>20</v>
      </c>
      <c r="E33" s="44">
        <v>0</v>
      </c>
      <c r="F33" s="45">
        <v>606.26</v>
      </c>
      <c r="G33" s="45">
        <v>763.84</v>
      </c>
      <c r="H33" s="45">
        <v>1101.7</v>
      </c>
      <c r="I33" s="45">
        <v>1306.2</v>
      </c>
      <c r="J33" s="45">
        <v>1645.7</v>
      </c>
      <c r="K33" s="45">
        <v>2073.4</v>
      </c>
      <c r="L33" s="45">
        <v>2373.4</v>
      </c>
      <c r="M33" s="45">
        <v>2373.4</v>
      </c>
      <c r="N33" s="46">
        <v>2373.4</v>
      </c>
    </row>
    <row r="34" spans="2:14" x14ac:dyDescent="0.3">
      <c r="B34" s="61"/>
      <c r="C34" s="45"/>
      <c r="D34" s="43" t="s">
        <v>21</v>
      </c>
      <c r="E34" s="44">
        <v>0</v>
      </c>
      <c r="F34" s="45">
        <v>1.52</v>
      </c>
      <c r="G34" s="45">
        <v>3.05</v>
      </c>
      <c r="H34" s="45">
        <v>9.14</v>
      </c>
      <c r="I34" s="45">
        <v>15.24</v>
      </c>
      <c r="J34" s="45">
        <v>30.48</v>
      </c>
      <c r="K34" s="45">
        <v>60.95</v>
      </c>
      <c r="L34" s="45">
        <v>91.43</v>
      </c>
      <c r="M34" s="45">
        <v>457.13</v>
      </c>
      <c r="N34" s="46">
        <v>487.6</v>
      </c>
    </row>
    <row r="35" spans="2:14" x14ac:dyDescent="0.3">
      <c r="B35" s="61">
        <v>13</v>
      </c>
      <c r="C35" s="45">
        <v>104.9</v>
      </c>
      <c r="D35" s="43" t="s">
        <v>20</v>
      </c>
      <c r="E35" s="44">
        <v>0</v>
      </c>
      <c r="F35" s="45">
        <v>606.26</v>
      </c>
      <c r="G35" s="45">
        <v>763.84</v>
      </c>
      <c r="H35" s="45">
        <v>1101.7</v>
      </c>
      <c r="I35" s="45">
        <v>1306.2</v>
      </c>
      <c r="J35" s="45">
        <v>1645.7</v>
      </c>
      <c r="K35" s="45">
        <v>2073.4</v>
      </c>
      <c r="L35" s="45">
        <v>2373.4</v>
      </c>
      <c r="M35" s="45">
        <v>2373.4</v>
      </c>
      <c r="N35" s="46">
        <v>2373.4</v>
      </c>
    </row>
    <row r="36" spans="2:14" ht="15" thickBot="1" x14ac:dyDescent="0.35">
      <c r="B36" s="63"/>
      <c r="C36" s="51"/>
      <c r="D36" s="49" t="s">
        <v>21</v>
      </c>
      <c r="E36" s="50">
        <v>0</v>
      </c>
      <c r="F36" s="51">
        <v>1.52</v>
      </c>
      <c r="G36" s="51">
        <v>3.05</v>
      </c>
      <c r="H36" s="51">
        <v>9.14</v>
      </c>
      <c r="I36" s="51">
        <v>15.24</v>
      </c>
      <c r="J36" s="51">
        <v>30.48</v>
      </c>
      <c r="K36" s="51">
        <v>60.95</v>
      </c>
      <c r="L36" s="51">
        <v>91.43</v>
      </c>
      <c r="M36" s="51">
        <v>457.13</v>
      </c>
      <c r="N36" s="52">
        <v>487.6</v>
      </c>
    </row>
  </sheetData>
  <mergeCells count="1">
    <mergeCell ref="B3:N3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"/>
  <sheetViews>
    <sheetView workbookViewId="0">
      <selection activeCell="D39" sqref="D39"/>
    </sheetView>
  </sheetViews>
  <sheetFormatPr defaultRowHeight="14.4" x14ac:dyDescent="0.3"/>
  <sheetData>
    <row r="1" spans="1:3" x14ac:dyDescent="0.3">
      <c r="A1" t="s">
        <v>12</v>
      </c>
      <c r="C1" s="1"/>
    </row>
    <row r="2" spans="1:3" x14ac:dyDescent="0.3">
      <c r="A2" s="1">
        <v>0</v>
      </c>
      <c r="C2" s="1"/>
    </row>
    <row r="3" spans="1:3" x14ac:dyDescent="0.3">
      <c r="A3" s="1">
        <v>1.4</v>
      </c>
      <c r="C3" s="1"/>
    </row>
    <row r="4" spans="1:3" x14ac:dyDescent="0.3">
      <c r="A4" s="1">
        <v>1.41</v>
      </c>
      <c r="C4" s="1"/>
    </row>
    <row r="5" spans="1:3" x14ac:dyDescent="0.3">
      <c r="A5" s="1">
        <v>2.5</v>
      </c>
      <c r="C5" s="1"/>
    </row>
    <row r="6" spans="1:3" x14ac:dyDescent="0.3">
      <c r="A6" s="1">
        <v>3.3</v>
      </c>
      <c r="C6" s="1"/>
    </row>
    <row r="7" spans="1:3" x14ac:dyDescent="0.3">
      <c r="A7" s="1">
        <v>3.31</v>
      </c>
      <c r="C7" s="1"/>
    </row>
    <row r="8" spans="1:3" x14ac:dyDescent="0.3">
      <c r="A8" s="1">
        <v>4.5</v>
      </c>
      <c r="C8" s="1"/>
    </row>
    <row r="9" spans="1:3" x14ac:dyDescent="0.3">
      <c r="A9" s="1">
        <v>6</v>
      </c>
      <c r="C9" s="1"/>
    </row>
    <row r="10" spans="1:3" x14ac:dyDescent="0.3">
      <c r="A10" s="1">
        <v>7.3</v>
      </c>
      <c r="C10" s="1"/>
    </row>
    <row r="11" spans="1:3" x14ac:dyDescent="0.3">
      <c r="A11" s="1">
        <v>8.5</v>
      </c>
      <c r="C11" s="1"/>
    </row>
    <row r="12" spans="1:3" x14ac:dyDescent="0.3">
      <c r="A12" s="1">
        <v>9.8000000000000007</v>
      </c>
      <c r="C12" s="1"/>
    </row>
    <row r="13" spans="1:3" x14ac:dyDescent="0.3">
      <c r="A13" s="1">
        <v>9.81</v>
      </c>
      <c r="C13" s="1"/>
    </row>
    <row r="14" spans="1:3" x14ac:dyDescent="0.3">
      <c r="A14" s="1">
        <v>11.3</v>
      </c>
      <c r="C14" s="1"/>
    </row>
    <row r="15" spans="1:3" x14ac:dyDescent="0.3">
      <c r="A15" s="1">
        <v>12.5</v>
      </c>
      <c r="C15" s="1"/>
    </row>
    <row r="16" spans="1:3" x14ac:dyDescent="0.3">
      <c r="A16" s="1">
        <v>13.6</v>
      </c>
      <c r="C16" s="1"/>
    </row>
    <row r="17" spans="1:4" x14ac:dyDescent="0.3">
      <c r="A17" s="1">
        <v>14.9</v>
      </c>
      <c r="C17" s="1"/>
      <c r="D17" s="1"/>
    </row>
    <row r="18" spans="1:4" x14ac:dyDescent="0.3">
      <c r="A18" s="1">
        <v>14.91</v>
      </c>
      <c r="C18" s="1"/>
      <c r="D18" s="1"/>
    </row>
    <row r="19" spans="1:4" x14ac:dyDescent="0.3">
      <c r="A19" s="1">
        <v>16.5</v>
      </c>
      <c r="C19" s="1"/>
      <c r="D19" s="1"/>
    </row>
    <row r="20" spans="1:4" x14ac:dyDescent="0.3">
      <c r="A20" s="1">
        <v>18</v>
      </c>
      <c r="C20" s="1"/>
      <c r="D20" s="1"/>
    </row>
    <row r="21" spans="1:4" x14ac:dyDescent="0.3">
      <c r="A21" s="1">
        <v>19.5</v>
      </c>
      <c r="C21" s="1"/>
      <c r="D21" s="1"/>
    </row>
    <row r="22" spans="1:4" x14ac:dyDescent="0.3">
      <c r="A22" s="1">
        <v>22</v>
      </c>
      <c r="C22" s="1"/>
      <c r="D22" s="1"/>
    </row>
    <row r="23" spans="1:4" x14ac:dyDescent="0.3">
      <c r="A23" s="1">
        <v>24</v>
      </c>
      <c r="C23" s="1"/>
      <c r="D23" s="1"/>
    </row>
    <row r="24" spans="1:4" ht="15" x14ac:dyDescent="0.25">
      <c r="A24" s="1">
        <v>26</v>
      </c>
      <c r="C24" s="1"/>
      <c r="D24" s="1"/>
    </row>
    <row r="25" spans="1:4" x14ac:dyDescent="0.3">
      <c r="A25" s="1">
        <v>27.9</v>
      </c>
      <c r="C25" s="1"/>
      <c r="D25" s="1"/>
    </row>
    <row r="26" spans="1:4" x14ac:dyDescent="0.3">
      <c r="A26" s="1">
        <v>27.91</v>
      </c>
      <c r="C26" s="1"/>
      <c r="D26" s="1"/>
    </row>
    <row r="27" spans="1:4" x14ac:dyDescent="0.3">
      <c r="A27" s="1">
        <v>28.1</v>
      </c>
      <c r="C27" s="1"/>
      <c r="D27" s="1"/>
    </row>
    <row r="28" spans="1:4" x14ac:dyDescent="0.3">
      <c r="A28" s="1">
        <v>29.7</v>
      </c>
      <c r="C28" s="1"/>
      <c r="D28" s="1"/>
    </row>
    <row r="29" spans="1:4" x14ac:dyDescent="0.3">
      <c r="A29" s="1">
        <v>30.4</v>
      </c>
      <c r="C29" s="1"/>
      <c r="D29" s="1"/>
    </row>
    <row r="30" spans="1:4" x14ac:dyDescent="0.3">
      <c r="A30" s="1">
        <v>31.1</v>
      </c>
      <c r="C30" s="1"/>
      <c r="D30" s="1"/>
    </row>
    <row r="31" spans="1:4" x14ac:dyDescent="0.3">
      <c r="A31" s="1">
        <v>31.11</v>
      </c>
      <c r="C31" s="1"/>
      <c r="D31" s="1"/>
    </row>
    <row r="32" spans="1:4" x14ac:dyDescent="0.3">
      <c r="A32" s="1">
        <v>33.200000000000003</v>
      </c>
      <c r="C32" s="1"/>
      <c r="D32" s="1"/>
    </row>
    <row r="33" spans="1:4" x14ac:dyDescent="0.3">
      <c r="A33" s="1">
        <v>35.4</v>
      </c>
      <c r="C33" s="1"/>
      <c r="D33" s="1"/>
    </row>
    <row r="34" spans="1:4" x14ac:dyDescent="0.3">
      <c r="A34" s="1">
        <v>37.9</v>
      </c>
      <c r="C34" s="1"/>
      <c r="D34" s="1"/>
    </row>
    <row r="35" spans="1:4" x14ac:dyDescent="0.3">
      <c r="A35" s="1">
        <v>37.909999999999997</v>
      </c>
      <c r="C35" s="1"/>
      <c r="D35" s="1"/>
    </row>
    <row r="36" spans="1:4" x14ac:dyDescent="0.3">
      <c r="A36" s="1">
        <v>39.799999999999997</v>
      </c>
      <c r="C36" s="1"/>
      <c r="D36" s="1"/>
    </row>
    <row r="37" spans="1:4" x14ac:dyDescent="0.3">
      <c r="A37" s="1">
        <v>40.9</v>
      </c>
      <c r="C37" s="1"/>
      <c r="D37" s="1"/>
    </row>
    <row r="38" spans="1:4" x14ac:dyDescent="0.3">
      <c r="A38" s="1">
        <v>41.9</v>
      </c>
      <c r="C38" s="1"/>
      <c r="D38" s="1"/>
    </row>
    <row r="39" spans="1:4" x14ac:dyDescent="0.3">
      <c r="A39" s="1">
        <v>43.8</v>
      </c>
      <c r="C39" s="1"/>
      <c r="D39" s="1"/>
    </row>
    <row r="40" spans="1:4" x14ac:dyDescent="0.3">
      <c r="A40" s="1">
        <v>43.81</v>
      </c>
      <c r="C40" s="1"/>
      <c r="D40" s="1"/>
    </row>
    <row r="41" spans="1:4" x14ac:dyDescent="0.3">
      <c r="A41" s="1">
        <v>45.8</v>
      </c>
      <c r="C41" s="1"/>
      <c r="D41" s="1"/>
    </row>
    <row r="42" spans="1:4" x14ac:dyDescent="0.3">
      <c r="A42" s="1">
        <v>48</v>
      </c>
      <c r="C42" s="1"/>
      <c r="D42" s="1"/>
    </row>
    <row r="43" spans="1:4" x14ac:dyDescent="0.3">
      <c r="A43" s="1">
        <v>50.6</v>
      </c>
      <c r="C43" s="1"/>
      <c r="D43" s="1"/>
    </row>
    <row r="44" spans="1:4" x14ac:dyDescent="0.3">
      <c r="A44" s="1">
        <v>53.2</v>
      </c>
      <c r="C44" s="1"/>
      <c r="D44" s="1"/>
    </row>
    <row r="45" spans="1:4" x14ac:dyDescent="0.3">
      <c r="A45" s="1">
        <v>55.7</v>
      </c>
      <c r="C45" s="1"/>
      <c r="D45" s="1"/>
    </row>
    <row r="46" spans="1:4" x14ac:dyDescent="0.3">
      <c r="A46" s="1">
        <v>58.2</v>
      </c>
      <c r="C46" s="1"/>
      <c r="D46" s="1"/>
    </row>
    <row r="47" spans="1:4" x14ac:dyDescent="0.3">
      <c r="A47" s="1">
        <v>60.4</v>
      </c>
      <c r="C47" s="1"/>
      <c r="D47" s="1"/>
    </row>
    <row r="48" spans="1:4" x14ac:dyDescent="0.3">
      <c r="A48" s="1">
        <v>62.5</v>
      </c>
      <c r="C48" s="1"/>
      <c r="D48" s="1"/>
    </row>
    <row r="49" spans="1:4" x14ac:dyDescent="0.3">
      <c r="A49" s="1">
        <v>65</v>
      </c>
      <c r="C49" s="1"/>
      <c r="D49" s="1"/>
    </row>
    <row r="50" spans="1:4" x14ac:dyDescent="0.3">
      <c r="A50" s="1">
        <v>65.010000000000005</v>
      </c>
      <c r="C50" s="1"/>
      <c r="D50" s="1"/>
    </row>
    <row r="51" spans="1:4" x14ac:dyDescent="0.3">
      <c r="A51" s="1">
        <v>67.2</v>
      </c>
      <c r="C51" s="1"/>
      <c r="D51" s="1"/>
    </row>
    <row r="52" spans="1:4" x14ac:dyDescent="0.3">
      <c r="A52" s="1">
        <v>69.099999999999994</v>
      </c>
      <c r="C52" s="1"/>
      <c r="D52" s="1"/>
    </row>
    <row r="53" spans="1:4" x14ac:dyDescent="0.3">
      <c r="A53" s="1">
        <v>69.8</v>
      </c>
      <c r="C53" s="1"/>
      <c r="D53" s="1"/>
    </row>
    <row r="54" spans="1:4" x14ac:dyDescent="0.3">
      <c r="A54" s="1">
        <v>72</v>
      </c>
      <c r="C54" s="1"/>
      <c r="D54" s="1"/>
    </row>
    <row r="55" spans="1:4" x14ac:dyDescent="0.3">
      <c r="A55" s="1">
        <v>72.010000000000005</v>
      </c>
      <c r="C55" s="1"/>
      <c r="D55" s="1"/>
    </row>
    <row r="56" spans="1:4" x14ac:dyDescent="0.3">
      <c r="A56" s="1">
        <v>74</v>
      </c>
      <c r="C56" s="1"/>
      <c r="D56" s="1"/>
    </row>
    <row r="57" spans="1:4" x14ac:dyDescent="0.3">
      <c r="A57" s="1">
        <v>74.010000000000005</v>
      </c>
      <c r="D57" s="1"/>
    </row>
    <row r="58" spans="1:4" x14ac:dyDescent="0.3">
      <c r="A58" s="1">
        <v>78.900000000000006</v>
      </c>
      <c r="D58" s="1"/>
    </row>
    <row r="59" spans="1:4" x14ac:dyDescent="0.3">
      <c r="A59" s="1">
        <v>79</v>
      </c>
      <c r="D59" s="1"/>
    </row>
    <row r="60" spans="1:4" x14ac:dyDescent="0.3">
      <c r="A60" s="1">
        <v>83.7</v>
      </c>
      <c r="D60" s="1"/>
    </row>
    <row r="61" spans="1:4" x14ac:dyDescent="0.3">
      <c r="A61" s="1">
        <v>83.71</v>
      </c>
      <c r="D61" s="1"/>
    </row>
    <row r="62" spans="1:4" x14ac:dyDescent="0.3">
      <c r="A62" s="1">
        <v>84.5</v>
      </c>
      <c r="D62" s="1"/>
    </row>
    <row r="63" spans="1:4" x14ac:dyDescent="0.3">
      <c r="A63" s="1">
        <v>91.8</v>
      </c>
      <c r="D63" s="1"/>
    </row>
    <row r="64" spans="1:4" x14ac:dyDescent="0.3">
      <c r="A64" s="1">
        <v>91.81</v>
      </c>
      <c r="D64" s="1"/>
    </row>
    <row r="65" spans="1:4" x14ac:dyDescent="0.3">
      <c r="A65" s="1">
        <v>98.9</v>
      </c>
      <c r="D65" s="1"/>
    </row>
    <row r="66" spans="1:4" x14ac:dyDescent="0.3">
      <c r="A66" s="1">
        <v>104.9</v>
      </c>
      <c r="D66" s="1"/>
    </row>
    <row r="67" spans="1:4" x14ac:dyDescent="0.3">
      <c r="A67" s="1">
        <v>104.91</v>
      </c>
      <c r="D67" s="1"/>
    </row>
    <row r="68" spans="1:4" x14ac:dyDescent="0.3">
      <c r="A68" s="1">
        <v>109.9</v>
      </c>
      <c r="D68" s="1"/>
    </row>
    <row r="69" spans="1:4" x14ac:dyDescent="0.3">
      <c r="A69" s="1">
        <v>115</v>
      </c>
      <c r="D69" s="1"/>
    </row>
    <row r="70" spans="1:4" x14ac:dyDescent="0.3">
      <c r="A70" s="1">
        <v>120</v>
      </c>
      <c r="D70" s="1"/>
    </row>
    <row r="71" spans="1:4" x14ac:dyDescent="0.3">
      <c r="A71" s="1">
        <v>124</v>
      </c>
      <c r="D71" s="1"/>
    </row>
    <row r="72" spans="1:4" x14ac:dyDescent="0.3">
      <c r="A72" s="1">
        <v>124.01</v>
      </c>
      <c r="D72" s="1"/>
    </row>
    <row r="73" spans="1:4" x14ac:dyDescent="0.3">
      <c r="A73" s="1">
        <v>125</v>
      </c>
      <c r="D73" s="1"/>
    </row>
    <row r="74" spans="1:4" x14ac:dyDescent="0.3">
      <c r="A74" s="1">
        <v>126</v>
      </c>
      <c r="D74" s="1"/>
    </row>
    <row r="75" spans="1:4" x14ac:dyDescent="0.3">
      <c r="A75" s="1">
        <v>126.01</v>
      </c>
      <c r="D75" s="1"/>
    </row>
    <row r="76" spans="1:4" x14ac:dyDescent="0.3">
      <c r="A76" s="1">
        <v>134</v>
      </c>
      <c r="D76" s="1"/>
    </row>
    <row r="77" spans="1:4" x14ac:dyDescent="0.3">
      <c r="A77" s="1">
        <v>140.9</v>
      </c>
      <c r="D77" s="1"/>
    </row>
    <row r="78" spans="1:4" x14ac:dyDescent="0.3">
      <c r="D78" s="1"/>
    </row>
    <row r="79" spans="1:4" x14ac:dyDescent="0.3">
      <c r="D79" s="1"/>
    </row>
    <row r="80" spans="1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T22" sqref="T22"/>
    </sheetView>
  </sheetViews>
  <sheetFormatPr defaultRowHeight="14.4" x14ac:dyDescent="0.3"/>
  <sheetData>
    <row r="1" spans="1:11" x14ac:dyDescent="0.3">
      <c r="A1" s="1">
        <v>0</v>
      </c>
      <c r="G1" s="1">
        <v>0</v>
      </c>
      <c r="H1">
        <f>-1*A1</f>
        <v>0</v>
      </c>
      <c r="J1">
        <v>0</v>
      </c>
      <c r="K1">
        <v>0</v>
      </c>
    </row>
    <row r="2" spans="1:11" x14ac:dyDescent="0.3">
      <c r="A2" s="1">
        <v>1.4</v>
      </c>
      <c r="B2" s="1"/>
      <c r="C2" s="1"/>
      <c r="D2" s="1">
        <v>0</v>
      </c>
      <c r="E2" s="1"/>
      <c r="G2" s="1">
        <v>0</v>
      </c>
      <c r="H2">
        <f t="shared" ref="H2:H10" si="0">-1*A2</f>
        <v>-1.4</v>
      </c>
      <c r="J2" s="1">
        <v>0</v>
      </c>
      <c r="K2">
        <v>-1.4</v>
      </c>
    </row>
    <row r="3" spans="1:11" x14ac:dyDescent="0.3">
      <c r="A3" s="1">
        <v>1.4</v>
      </c>
      <c r="B3" s="1"/>
      <c r="C3" s="1"/>
      <c r="D3" s="1">
        <v>0</v>
      </c>
      <c r="E3" s="1"/>
      <c r="G3" s="1">
        <v>1.5</v>
      </c>
      <c r="H3">
        <f t="shared" si="0"/>
        <v>-1.4</v>
      </c>
      <c r="J3" s="1">
        <v>1.5</v>
      </c>
      <c r="K3">
        <v>-1.4</v>
      </c>
    </row>
    <row r="4" spans="1:11" x14ac:dyDescent="0.3">
      <c r="A4" s="1">
        <v>3.3</v>
      </c>
      <c r="B4" s="1">
        <v>0</v>
      </c>
      <c r="C4" s="1">
        <v>0</v>
      </c>
      <c r="D4" s="1">
        <v>1.5</v>
      </c>
      <c r="E4" s="1">
        <v>3.9</v>
      </c>
      <c r="G4" s="1">
        <v>4.2</v>
      </c>
      <c r="H4">
        <f t="shared" si="0"/>
        <v>-3.3</v>
      </c>
      <c r="J4" s="1">
        <v>1.5</v>
      </c>
      <c r="K4">
        <v>-3.3</v>
      </c>
    </row>
    <row r="5" spans="1:11" x14ac:dyDescent="0.3">
      <c r="A5" s="1">
        <v>3.3</v>
      </c>
      <c r="B5" s="1">
        <v>0</v>
      </c>
      <c r="C5" s="1">
        <v>0</v>
      </c>
      <c r="D5" s="1">
        <v>4.2</v>
      </c>
      <c r="E5" s="1">
        <v>3.9</v>
      </c>
      <c r="G5" s="1">
        <v>4.2</v>
      </c>
      <c r="H5">
        <f t="shared" si="0"/>
        <v>-3.3</v>
      </c>
      <c r="J5" s="1">
        <v>4.2</v>
      </c>
      <c r="K5">
        <v>-3.3</v>
      </c>
    </row>
    <row r="6" spans="1:11" x14ac:dyDescent="0.3">
      <c r="A6" s="1">
        <v>9.8000000000000007</v>
      </c>
      <c r="B6" s="1">
        <v>0</v>
      </c>
      <c r="C6" s="1">
        <v>0</v>
      </c>
      <c r="D6" s="1">
        <v>4.2</v>
      </c>
      <c r="E6" s="1">
        <v>3.9</v>
      </c>
      <c r="G6" s="1">
        <v>8.1</v>
      </c>
      <c r="H6">
        <f t="shared" si="0"/>
        <v>-9.8000000000000007</v>
      </c>
      <c r="J6" s="1">
        <v>4.2</v>
      </c>
      <c r="K6">
        <v>-9.8000000000000007</v>
      </c>
    </row>
    <row r="7" spans="1:11" x14ac:dyDescent="0.3">
      <c r="A7" s="1">
        <v>9.8000000000000007</v>
      </c>
      <c r="B7" s="1">
        <v>0</v>
      </c>
      <c r="C7" s="1">
        <v>0</v>
      </c>
      <c r="D7" s="1">
        <v>8.1</v>
      </c>
      <c r="E7" s="1">
        <v>3.9</v>
      </c>
      <c r="G7" s="1">
        <v>6.6</v>
      </c>
      <c r="H7">
        <f t="shared" si="0"/>
        <v>-9.8000000000000007</v>
      </c>
      <c r="J7" s="1">
        <v>8.1</v>
      </c>
      <c r="K7">
        <v>-9.8000000000000007</v>
      </c>
    </row>
    <row r="8" spans="1:11" x14ac:dyDescent="0.3">
      <c r="A8" s="1">
        <v>14.9</v>
      </c>
      <c r="B8" s="1">
        <v>0</v>
      </c>
      <c r="C8" s="1">
        <v>0</v>
      </c>
      <c r="D8" s="1">
        <v>6.6</v>
      </c>
      <c r="E8" s="1">
        <v>3.9</v>
      </c>
      <c r="G8" s="1">
        <v>8.1</v>
      </c>
      <c r="H8">
        <f t="shared" si="0"/>
        <v>-14.9</v>
      </c>
      <c r="J8" s="1">
        <v>6.6</v>
      </c>
      <c r="K8">
        <v>-14.9</v>
      </c>
    </row>
    <row r="9" spans="1:11" x14ac:dyDescent="0.3">
      <c r="A9" s="1">
        <v>14.9</v>
      </c>
      <c r="B9" s="1">
        <v>0</v>
      </c>
      <c r="C9" s="1">
        <v>0</v>
      </c>
      <c r="D9" s="1">
        <v>8.1</v>
      </c>
      <c r="E9" s="1">
        <v>3.9</v>
      </c>
      <c r="G9" s="1">
        <v>6</v>
      </c>
      <c r="H9">
        <f t="shared" si="0"/>
        <v>-14.9</v>
      </c>
      <c r="J9" s="1">
        <v>8.1</v>
      </c>
      <c r="K9">
        <v>-14.9</v>
      </c>
    </row>
    <row r="10" spans="1:11" x14ac:dyDescent="0.3">
      <c r="A10" s="1">
        <v>27.9</v>
      </c>
      <c r="B10" s="1">
        <v>0</v>
      </c>
      <c r="C10" s="1">
        <v>0</v>
      </c>
      <c r="D10" s="1">
        <v>6</v>
      </c>
      <c r="E10" s="1">
        <v>3.9</v>
      </c>
      <c r="G10" s="1">
        <v>13.5</v>
      </c>
      <c r="H10">
        <f t="shared" si="0"/>
        <v>-27.9</v>
      </c>
      <c r="J10" s="1">
        <v>6</v>
      </c>
      <c r="K10">
        <v>-27.9</v>
      </c>
    </row>
    <row r="11" spans="1:11" x14ac:dyDescent="0.3">
      <c r="A11" s="1">
        <v>27.91</v>
      </c>
      <c r="B11" s="1">
        <v>0</v>
      </c>
      <c r="C11" s="1">
        <v>0</v>
      </c>
      <c r="D11" s="1">
        <v>13.5</v>
      </c>
      <c r="E11" s="1">
        <v>3.9</v>
      </c>
      <c r="J11" s="1"/>
    </row>
    <row r="12" spans="1:11" x14ac:dyDescent="0.3">
      <c r="A12" s="1">
        <v>30.4</v>
      </c>
      <c r="B12" s="1">
        <v>0</v>
      </c>
      <c r="C12" s="1">
        <v>0</v>
      </c>
      <c r="D12" s="1">
        <v>60</v>
      </c>
      <c r="E12" s="1">
        <v>2.5</v>
      </c>
    </row>
    <row r="13" spans="1:11" x14ac:dyDescent="0.3">
      <c r="A13" s="1">
        <v>31.1</v>
      </c>
      <c r="B13" s="1">
        <v>0</v>
      </c>
      <c r="C13" s="1">
        <v>0</v>
      </c>
      <c r="D13" s="1">
        <v>67</v>
      </c>
      <c r="E13" s="1">
        <v>2.5</v>
      </c>
    </row>
    <row r="14" spans="1:11" x14ac:dyDescent="0.3">
      <c r="A14" s="1">
        <v>31.11</v>
      </c>
      <c r="B14" s="1">
        <v>0</v>
      </c>
      <c r="C14" s="1">
        <v>0</v>
      </c>
      <c r="D14" s="1">
        <v>67</v>
      </c>
      <c r="E14" s="1">
        <v>2.5</v>
      </c>
    </row>
    <row r="15" spans="1:11" x14ac:dyDescent="0.3">
      <c r="A15" s="1">
        <v>37.9</v>
      </c>
      <c r="B15" s="1">
        <v>0</v>
      </c>
      <c r="C15" s="1">
        <v>0</v>
      </c>
      <c r="D15" s="1">
        <v>10.5</v>
      </c>
      <c r="E15" s="1">
        <v>3.9</v>
      </c>
    </row>
    <row r="16" spans="1:11" x14ac:dyDescent="0.3">
      <c r="A16" s="1">
        <v>37.909999999999997</v>
      </c>
      <c r="B16" s="1">
        <v>0</v>
      </c>
      <c r="C16" s="1">
        <v>0</v>
      </c>
      <c r="D16" s="1">
        <v>13.5</v>
      </c>
      <c r="E16" s="1">
        <v>3.9</v>
      </c>
    </row>
    <row r="17" spans="1:5" x14ac:dyDescent="0.3">
      <c r="A17" s="1">
        <v>43.8</v>
      </c>
      <c r="B17" s="1">
        <v>0</v>
      </c>
      <c r="C17" s="1">
        <v>0</v>
      </c>
      <c r="D17" s="1">
        <v>96</v>
      </c>
      <c r="E17" s="1">
        <v>2.5</v>
      </c>
    </row>
    <row r="18" spans="1:5" x14ac:dyDescent="0.3">
      <c r="A18" s="1">
        <v>43.81</v>
      </c>
      <c r="B18" s="1">
        <v>0</v>
      </c>
      <c r="C18" s="1">
        <v>0</v>
      </c>
      <c r="D18" s="1">
        <v>96</v>
      </c>
      <c r="E18" s="1">
        <v>2.5</v>
      </c>
    </row>
    <row r="19" spans="1:5" x14ac:dyDescent="0.3">
      <c r="A19" s="1">
        <v>65</v>
      </c>
      <c r="B19" s="1">
        <v>0</v>
      </c>
      <c r="C19" s="1">
        <v>0</v>
      </c>
      <c r="D19" s="1">
        <v>16.5</v>
      </c>
      <c r="E19" s="1">
        <v>3.9</v>
      </c>
    </row>
    <row r="20" spans="1:5" x14ac:dyDescent="0.3">
      <c r="A20" s="1">
        <v>65.010000000000005</v>
      </c>
      <c r="B20" s="1">
        <v>0</v>
      </c>
      <c r="C20" s="1">
        <v>0</v>
      </c>
      <c r="D20" s="1">
        <v>24</v>
      </c>
      <c r="E20" s="1">
        <v>3.9</v>
      </c>
    </row>
    <row r="21" spans="1:5" x14ac:dyDescent="0.3">
      <c r="A21" s="1">
        <v>72</v>
      </c>
      <c r="B21" s="1">
        <v>0</v>
      </c>
      <c r="C21" s="1">
        <v>0</v>
      </c>
      <c r="D21" s="1">
        <v>80</v>
      </c>
      <c r="E21" s="1">
        <v>2.5</v>
      </c>
    </row>
    <row r="22" spans="1:5" x14ac:dyDescent="0.3">
      <c r="A22" s="1">
        <v>72.010000000000005</v>
      </c>
      <c r="B22" s="1">
        <v>0</v>
      </c>
      <c r="C22" s="1">
        <v>0</v>
      </c>
      <c r="D22" s="1">
        <v>80</v>
      </c>
      <c r="E22" s="1">
        <v>2.5</v>
      </c>
    </row>
    <row r="23" spans="1:5" x14ac:dyDescent="0.3">
      <c r="A23" s="1">
        <v>74</v>
      </c>
      <c r="B23" s="1">
        <v>0</v>
      </c>
      <c r="C23" s="1">
        <v>0</v>
      </c>
      <c r="D23" s="1">
        <v>30</v>
      </c>
      <c r="E23" s="1">
        <v>3.9</v>
      </c>
    </row>
    <row r="24" spans="1:5" ht="15" x14ac:dyDescent="0.25">
      <c r="A24" s="1">
        <v>74.010000000000005</v>
      </c>
      <c r="B24" s="1">
        <v>0</v>
      </c>
      <c r="C24" s="1">
        <v>0</v>
      </c>
      <c r="D24" s="1">
        <v>30</v>
      </c>
      <c r="E24" s="1">
        <v>3.9</v>
      </c>
    </row>
    <row r="25" spans="1:5" x14ac:dyDescent="0.3">
      <c r="A25" s="1">
        <v>83.7</v>
      </c>
      <c r="B25" s="1">
        <v>0</v>
      </c>
      <c r="C25" s="1">
        <v>0</v>
      </c>
      <c r="D25" s="1">
        <v>96</v>
      </c>
      <c r="E25" s="1">
        <v>2.5</v>
      </c>
    </row>
    <row r="26" spans="1:5" x14ac:dyDescent="0.3">
      <c r="A26" s="1">
        <v>83.71</v>
      </c>
      <c r="B26" s="1">
        <v>0</v>
      </c>
      <c r="C26" s="1">
        <v>0</v>
      </c>
      <c r="D26" s="1">
        <v>96</v>
      </c>
      <c r="E26" s="1">
        <v>2.5</v>
      </c>
    </row>
    <row r="27" spans="1:5" x14ac:dyDescent="0.3">
      <c r="A27" s="1">
        <v>91.8</v>
      </c>
      <c r="B27" s="1">
        <v>0</v>
      </c>
      <c r="C27" s="1">
        <v>0</v>
      </c>
      <c r="D27" s="1">
        <v>80</v>
      </c>
      <c r="E27" s="1">
        <v>2.5</v>
      </c>
    </row>
    <row r="28" spans="1:5" x14ac:dyDescent="0.3">
      <c r="A28" s="1">
        <v>91.81</v>
      </c>
      <c r="B28" s="1">
        <v>0</v>
      </c>
      <c r="C28" s="1">
        <v>0</v>
      </c>
      <c r="D28" s="1">
        <v>80</v>
      </c>
      <c r="E28" s="1">
        <v>2.5</v>
      </c>
    </row>
    <row r="29" spans="1:5" x14ac:dyDescent="0.3">
      <c r="A29" s="1">
        <v>104.9</v>
      </c>
      <c r="B29" s="1">
        <v>0</v>
      </c>
      <c r="C29" s="1">
        <v>0</v>
      </c>
      <c r="D29" s="1">
        <v>45</v>
      </c>
      <c r="E29" s="1">
        <v>3.9</v>
      </c>
    </row>
    <row r="30" spans="1:5" x14ac:dyDescent="0.3">
      <c r="A30" s="1">
        <v>104.91</v>
      </c>
      <c r="B30" s="1">
        <v>0</v>
      </c>
      <c r="C30" s="1">
        <v>0</v>
      </c>
      <c r="D30" s="1">
        <v>45</v>
      </c>
      <c r="E30" s="1">
        <v>3.9</v>
      </c>
    </row>
    <row r="31" spans="1:5" x14ac:dyDescent="0.3">
      <c r="A31" s="1">
        <v>124</v>
      </c>
      <c r="B31" s="1">
        <v>0</v>
      </c>
      <c r="C31" s="1">
        <v>0</v>
      </c>
      <c r="D31" s="1">
        <v>52.5</v>
      </c>
      <c r="E31" s="1">
        <v>3.9</v>
      </c>
    </row>
    <row r="32" spans="1:5" x14ac:dyDescent="0.3">
      <c r="A32" s="1">
        <v>124.01</v>
      </c>
      <c r="B32" s="1">
        <v>0</v>
      </c>
      <c r="C32" s="1">
        <v>0</v>
      </c>
      <c r="D32" s="1">
        <v>67.5</v>
      </c>
      <c r="E32" s="1">
        <v>3.9</v>
      </c>
    </row>
    <row r="33" spans="1:5" x14ac:dyDescent="0.3">
      <c r="A33" s="1">
        <v>126</v>
      </c>
      <c r="B33" s="1">
        <v>0</v>
      </c>
      <c r="C33" s="1">
        <v>0</v>
      </c>
      <c r="D33" s="1">
        <v>67</v>
      </c>
      <c r="E33" s="1">
        <v>2.5</v>
      </c>
    </row>
    <row r="34" spans="1:5" x14ac:dyDescent="0.3">
      <c r="A34" s="1">
        <v>126.01</v>
      </c>
      <c r="B34" s="1">
        <v>0</v>
      </c>
      <c r="C34" s="1">
        <v>0</v>
      </c>
      <c r="D34" s="1">
        <v>67</v>
      </c>
      <c r="E34" s="1">
        <v>2.5</v>
      </c>
    </row>
    <row r="35" spans="1:5" x14ac:dyDescent="0.3">
      <c r="A35" s="1">
        <v>140.9</v>
      </c>
      <c r="B35" s="1">
        <v>0</v>
      </c>
      <c r="C35" s="1">
        <v>0</v>
      </c>
      <c r="D35" s="1">
        <v>67.5</v>
      </c>
      <c r="E35" s="1">
        <v>3.9</v>
      </c>
    </row>
    <row r="36" spans="1:5" x14ac:dyDescent="0.3">
      <c r="B36" s="1">
        <v>0</v>
      </c>
      <c r="C36" s="1">
        <v>0</v>
      </c>
      <c r="D36" s="1">
        <v>72</v>
      </c>
      <c r="E36" s="1">
        <v>3.9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E28" sqref="E28"/>
    </sheetView>
  </sheetViews>
  <sheetFormatPr defaultRowHeight="14.4" x14ac:dyDescent="0.3"/>
  <cols>
    <col min="2" max="2" width="16.5546875" bestFit="1" customWidth="1"/>
    <col min="3" max="3" width="21.44140625" bestFit="1" customWidth="1"/>
    <col min="4" max="4" width="16.6640625" bestFit="1" customWidth="1"/>
  </cols>
  <sheetData>
    <row r="1" spans="1:4" x14ac:dyDescent="0.3">
      <c r="A1" s="4" t="s">
        <v>24</v>
      </c>
      <c r="B1" t="s">
        <v>25</v>
      </c>
      <c r="C1" t="s">
        <v>27</v>
      </c>
      <c r="D1" t="s">
        <v>26</v>
      </c>
    </row>
    <row r="2" spans="1:4" x14ac:dyDescent="0.3">
      <c r="A2" s="5">
        <v>0</v>
      </c>
      <c r="B2" s="2">
        <v>0</v>
      </c>
      <c r="C2" s="2">
        <v>0</v>
      </c>
      <c r="D2" s="2">
        <v>0</v>
      </c>
    </row>
    <row r="3" spans="1:4" x14ac:dyDescent="0.3">
      <c r="A3" s="5">
        <v>1.4</v>
      </c>
      <c r="B3" s="2">
        <v>0</v>
      </c>
      <c r="C3" s="2">
        <v>0</v>
      </c>
      <c r="D3" s="2">
        <v>0</v>
      </c>
    </row>
    <row r="4" spans="1:4" x14ac:dyDescent="0.3">
      <c r="A4" s="5">
        <v>1.45</v>
      </c>
      <c r="B4" s="2">
        <v>1.5</v>
      </c>
      <c r="C4" s="2">
        <v>0</v>
      </c>
      <c r="D4" s="2">
        <v>0</v>
      </c>
    </row>
    <row r="5" spans="1:4" x14ac:dyDescent="0.3">
      <c r="A5" s="5">
        <v>3.3</v>
      </c>
      <c r="B5" s="2">
        <v>4.2</v>
      </c>
      <c r="C5" s="3">
        <v>1500</v>
      </c>
      <c r="D5" s="3">
        <v>3032.43</v>
      </c>
    </row>
    <row r="6" spans="1:4" x14ac:dyDescent="0.3">
      <c r="A6" s="5">
        <v>3.35</v>
      </c>
      <c r="B6" s="2">
        <v>4.2</v>
      </c>
      <c r="C6" s="2">
        <v>4200</v>
      </c>
      <c r="D6" s="2">
        <v>4200</v>
      </c>
    </row>
    <row r="7" spans="1:4" x14ac:dyDescent="0.3">
      <c r="A7" s="5">
        <v>9.8000000000000007</v>
      </c>
      <c r="B7" s="2">
        <v>8.1</v>
      </c>
      <c r="C7" s="3">
        <v>4200</v>
      </c>
      <c r="D7" s="3">
        <v>7313.95</v>
      </c>
    </row>
    <row r="8" spans="1:4" x14ac:dyDescent="0.3">
      <c r="A8" s="5">
        <v>9.85</v>
      </c>
      <c r="B8" s="2">
        <v>6.6</v>
      </c>
      <c r="C8" s="2">
        <v>8100</v>
      </c>
      <c r="D8" s="2">
        <v>8100</v>
      </c>
    </row>
    <row r="9" spans="1:4" x14ac:dyDescent="0.3">
      <c r="A9" s="5">
        <v>14.9</v>
      </c>
      <c r="B9" s="2">
        <v>8.1</v>
      </c>
      <c r="C9" s="3">
        <v>6600</v>
      </c>
      <c r="D9" s="3">
        <v>7713.86</v>
      </c>
    </row>
    <row r="10" spans="1:4" x14ac:dyDescent="0.3">
      <c r="A10" s="5">
        <v>14.95</v>
      </c>
      <c r="B10" s="2">
        <v>6</v>
      </c>
      <c r="C10" s="2">
        <v>8100</v>
      </c>
      <c r="D10" s="2">
        <v>8100</v>
      </c>
    </row>
    <row r="11" spans="1:4" x14ac:dyDescent="0.3">
      <c r="A11" s="5">
        <v>27.9</v>
      </c>
      <c r="B11" s="2">
        <v>13.5</v>
      </c>
      <c r="C11" s="3">
        <v>6000</v>
      </c>
      <c r="D11" s="3">
        <v>12399.6</v>
      </c>
    </row>
    <row r="12" spans="1:4" x14ac:dyDescent="0.3">
      <c r="A12" s="5">
        <v>27.95</v>
      </c>
      <c r="B12" s="2">
        <v>60</v>
      </c>
      <c r="C12" s="2">
        <v>13500</v>
      </c>
      <c r="D12" s="2">
        <v>13500</v>
      </c>
    </row>
    <row r="13" spans="1:4" x14ac:dyDescent="0.3">
      <c r="A13" s="1"/>
      <c r="B13" s="1"/>
      <c r="C13" s="1"/>
    </row>
    <row r="14" spans="1:4" x14ac:dyDescent="0.3">
      <c r="A14" s="1"/>
      <c r="B14" s="1"/>
      <c r="C14" s="1"/>
    </row>
    <row r="15" spans="1:4" x14ac:dyDescent="0.3">
      <c r="A15" s="1"/>
      <c r="B15" s="1"/>
      <c r="C15" s="1"/>
    </row>
    <row r="16" spans="1:4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/>
      <c r="B18" s="1"/>
      <c r="C18" s="1"/>
    </row>
    <row r="19" spans="1:3" x14ac:dyDescent="0.3">
      <c r="A19" s="1"/>
      <c r="B19" s="1"/>
      <c r="C19" s="1"/>
    </row>
    <row r="20" spans="1:3" x14ac:dyDescent="0.3">
      <c r="A20" s="1"/>
      <c r="B20" s="1"/>
      <c r="C20" s="1"/>
    </row>
    <row r="21" spans="1:3" x14ac:dyDescent="0.3">
      <c r="A21" s="1"/>
      <c r="B21" s="1"/>
      <c r="C21" s="1"/>
    </row>
    <row r="22" spans="1:3" x14ac:dyDescent="0.3">
      <c r="A22" s="1"/>
      <c r="B22" s="1"/>
      <c r="C22" s="1"/>
    </row>
    <row r="23" spans="1:3" x14ac:dyDescent="0.3">
      <c r="A23" s="1"/>
      <c r="B23" s="1"/>
      <c r="C23" s="1"/>
    </row>
    <row r="24" spans="1:3" ht="15" x14ac:dyDescent="0.25">
      <c r="A24" s="1"/>
      <c r="B24" s="1"/>
      <c r="C24" s="1"/>
    </row>
    <row r="25" spans="1:3" x14ac:dyDescent="0.3">
      <c r="A25" s="1"/>
      <c r="B25" s="1"/>
      <c r="C25" s="1"/>
    </row>
    <row r="26" spans="1:3" x14ac:dyDescent="0.3">
      <c r="A26" s="1"/>
      <c r="B26" s="1"/>
      <c r="C26" s="1"/>
    </row>
    <row r="27" spans="1:3" x14ac:dyDescent="0.3">
      <c r="A27" s="1"/>
      <c r="B27" s="1"/>
      <c r="C27" s="1"/>
    </row>
    <row r="28" spans="1:3" x14ac:dyDescent="0.3">
      <c r="A28" s="1"/>
      <c r="B28" s="1"/>
      <c r="C28" s="1"/>
    </row>
    <row r="29" spans="1:3" x14ac:dyDescent="0.3">
      <c r="A29" s="1"/>
      <c r="B29" s="1"/>
      <c r="C29" s="1"/>
    </row>
    <row r="30" spans="1:3" x14ac:dyDescent="0.3">
      <c r="A30" s="1"/>
      <c r="B30" s="1"/>
      <c r="C30" s="1"/>
    </row>
    <row r="31" spans="1:3" x14ac:dyDescent="0.3">
      <c r="A31" s="1"/>
      <c r="B31" s="1"/>
      <c r="C31" s="1"/>
    </row>
    <row r="32" spans="1:3" x14ac:dyDescent="0.3">
      <c r="A32" s="1"/>
      <c r="B32" s="1"/>
      <c r="C32" s="1"/>
    </row>
    <row r="33" spans="1:3" x14ac:dyDescent="0.3">
      <c r="A33" s="1"/>
      <c r="B33" s="1"/>
      <c r="C33" s="1"/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  <row r="36" spans="1:3" x14ac:dyDescent="0.3">
      <c r="A36" s="1"/>
      <c r="B36" s="1"/>
      <c r="C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t-z data</vt:lpstr>
      <vt:lpstr>q-z data</vt:lpstr>
      <vt:lpstr>p-y data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2016-01-29T19:55:34Z</dcterms:modified>
</cp:coreProperties>
</file>