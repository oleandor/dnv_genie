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OT\Desktop\"/>
    </mc:Choice>
  </mc:AlternateContent>
  <xr:revisionPtr revIDLastSave="0" documentId="13_ncr:1_{09D5C74B-4A3B-4373-AB70-59BD8F93FAC7}" xr6:coauthVersionLast="47" xr6:coauthVersionMax="47" xr10:uidLastSave="{00000000-0000-0000-0000-000000000000}"/>
  <bookViews>
    <workbookView xWindow="-108" yWindow="-108" windowWidth="21924" windowHeight="13176" firstSheet="1" activeTab="8" xr2:uid="{098FAEC1-ABE2-451F-97C7-C8DAE5AAE85A}"/>
  </bookViews>
  <sheets>
    <sheet name="SoilType" sheetId="1" r:id="rId1"/>
    <sheet name="SoilData" sheetId="2" r:id="rId2"/>
    <sheet name="SOILCURVE-CODE" sheetId="3" r:id="rId3"/>
    <sheet name="T-Z curve" sheetId="4" r:id="rId4"/>
    <sheet name="Q-Z curve" sheetId="5" r:id="rId5"/>
    <sheet name="P-Y curve" sheetId="7" r:id="rId6"/>
    <sheet name="DM curve" sheetId="6" r:id="rId7"/>
    <sheet name="BS&amp;BM curve" sheetId="9" r:id="rId8"/>
    <sheet name="Location" sheetId="8" r:id="rId9"/>
  </sheets>
  <definedNames>
    <definedName name="_xlnm._FilterDatabase" localSheetId="2" hidden="1">'SOILCURVE-CODE'!$A$1:$E$41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1" i="7" l="1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S66" i="7"/>
  <c r="S67" i="7"/>
  <c r="S68" i="7"/>
  <c r="S69" i="7"/>
  <c r="S70" i="7"/>
  <c r="S71" i="7"/>
  <c r="S72" i="7"/>
  <c r="S73" i="7"/>
  <c r="S74" i="7"/>
  <c r="S75" i="7"/>
  <c r="S76" i="7"/>
  <c r="S77" i="7"/>
  <c r="S78" i="7"/>
  <c r="S79" i="7"/>
  <c r="S80" i="7"/>
  <c r="S81" i="7"/>
  <c r="S82" i="7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5" i="7"/>
  <c r="S6" i="7"/>
  <c r="S7" i="7"/>
  <c r="S8" i="7"/>
  <c r="S9" i="7"/>
  <c r="S10" i="7"/>
  <c r="F2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S5" i="9"/>
  <c r="S8" i="9"/>
  <c r="S9" i="9"/>
  <c r="S4" i="9"/>
  <c r="S4" i="6"/>
  <c r="B41" i="8" l="1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B3" i="8"/>
  <c r="B2" i="8"/>
  <c r="S4" i="7"/>
  <c r="S4" i="5"/>
  <c r="S4" i="4"/>
  <c r="N2" i="2"/>
  <c r="M4" i="1"/>
  <c r="M3" i="1"/>
</calcChain>
</file>

<file path=xl/sharedStrings.xml><?xml version="1.0" encoding="utf-8"?>
<sst xmlns="http://schemas.openxmlformats.org/spreadsheetml/2006/main" count="594" uniqueCount="108">
  <si>
    <t>SoilType</t>
  </si>
  <si>
    <t>SoilTypeName</t>
  </si>
  <si>
    <t>Sand</t>
  </si>
  <si>
    <t>Clay</t>
  </si>
  <si>
    <t>ρ</t>
  </si>
  <si>
    <t>φ</t>
  </si>
  <si>
    <t>k</t>
  </si>
  <si>
    <t>ε50</t>
  </si>
  <si>
    <t>suz1</t>
  </si>
  <si>
    <t>z1</t>
  </si>
  <si>
    <t>suz2</t>
  </si>
  <si>
    <t>z2</t>
  </si>
  <si>
    <t>Soil2</t>
  </si>
  <si>
    <t>Soil1</t>
  </si>
  <si>
    <t>Name</t>
  </si>
  <si>
    <t>G0</t>
  </si>
  <si>
    <t>μ</t>
  </si>
  <si>
    <t>Pc1</t>
  </si>
  <si>
    <t>Pc2</t>
  </si>
  <si>
    <t>Pt1</t>
  </si>
  <si>
    <t>Pt2</t>
  </si>
  <si>
    <t>rsk</t>
  </si>
  <si>
    <t>Qpeak</t>
  </si>
  <si>
    <t>rts</t>
  </si>
  <si>
    <t>SoilData1</t>
  </si>
  <si>
    <t>SoilCurves</t>
  </si>
  <si>
    <t>Number</t>
  </si>
  <si>
    <t>pycode</t>
  </si>
  <si>
    <t>tzcode</t>
  </si>
  <si>
    <t>qzcode</t>
  </si>
  <si>
    <t>tzAPI2014</t>
  </si>
  <si>
    <t>qzAPI2014</t>
  </si>
  <si>
    <t>pyManual</t>
  </si>
  <si>
    <t>Pile Diameter</t>
  </si>
  <si>
    <t>CurveNumber</t>
  </si>
  <si>
    <t>type</t>
  </si>
  <si>
    <t>DM</t>
  </si>
  <si>
    <t>Theta</t>
  </si>
  <si>
    <t>BS</t>
  </si>
  <si>
    <t>Y</t>
  </si>
  <si>
    <t>BM</t>
  </si>
  <si>
    <t>T</t>
  </si>
  <si>
    <t>Z</t>
  </si>
  <si>
    <t>Q</t>
  </si>
  <si>
    <t>P</t>
  </si>
  <si>
    <t>Z Bottom</t>
  </si>
  <si>
    <t>Soil Curves</t>
  </si>
  <si>
    <t>Soil Data</t>
  </si>
  <si>
    <t>Sublayers</t>
  </si>
  <si>
    <t>SoilCurves1</t>
  </si>
  <si>
    <t>SoilCurves2</t>
  </si>
  <si>
    <t>SoilCurves3</t>
  </si>
  <si>
    <t>SoilCurves4</t>
  </si>
  <si>
    <t>SoilCurves5</t>
  </si>
  <si>
    <t>SoilCurves6</t>
  </si>
  <si>
    <t>SoilCurves7</t>
  </si>
  <si>
    <t>SoilCurves8</t>
  </si>
  <si>
    <t>SoilCurves9</t>
  </si>
  <si>
    <t>SoilCurves10</t>
  </si>
  <si>
    <t>SoilCurves11</t>
  </si>
  <si>
    <t>SoilCurves12</t>
  </si>
  <si>
    <t>SoilCurves13</t>
  </si>
  <si>
    <t>SoilCurves14</t>
  </si>
  <si>
    <t>SoilCurves15</t>
  </si>
  <si>
    <t>SoilCurves16</t>
  </si>
  <si>
    <t>SoilCurves17</t>
  </si>
  <si>
    <t>SoilCurves18</t>
  </si>
  <si>
    <t>SoilCurves19</t>
  </si>
  <si>
    <t>SoilCurves20</t>
  </si>
  <si>
    <t>SoilCurves21</t>
  </si>
  <si>
    <t>SoilCurves22</t>
  </si>
  <si>
    <t>SoilCurves23</t>
  </si>
  <si>
    <t>SoilCurves24</t>
  </si>
  <si>
    <t>SoilCurves25</t>
  </si>
  <si>
    <t>SoilCurves26</t>
  </si>
  <si>
    <t>SoilCurves27</t>
  </si>
  <si>
    <t>SoilCurves28</t>
  </si>
  <si>
    <t>SoilCurves29</t>
  </si>
  <si>
    <t>SoilCurves30</t>
  </si>
  <si>
    <t>SoilCurves31</t>
  </si>
  <si>
    <t>SoilCurves32</t>
  </si>
  <si>
    <t>SoilCurves33</t>
  </si>
  <si>
    <t>SoilCurves34</t>
  </si>
  <si>
    <t>SoilCurves35</t>
  </si>
  <si>
    <t>SoilCurves36</t>
  </si>
  <si>
    <t>SoilCurves37</t>
  </si>
  <si>
    <t>SoilCurves38</t>
  </si>
  <si>
    <t>SoilCurves39</t>
  </si>
  <si>
    <t>SoilCurves40</t>
  </si>
  <si>
    <t>No.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</si>
  <si>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</si>
  <si>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</si>
  <si>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</si>
  <si>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</si>
  <si>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</si>
  <si>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</si>
  <si>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</si>
  <si>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</si>
  <si>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</si>
  <si>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</si>
  <si>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</si>
  <si>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</si>
  <si>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</si>
  <si>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</si>
  <si>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</si>
  <si>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m</t>
  </si>
  <si>
    <t>P: Pa</t>
  </si>
  <si>
    <t>Y:m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</si>
</sst>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1" fillId="0" borderId="0" xfId="0" applyFont="1"/>
    <xf numFmtId="0" fontId="0" fillId="0" borderId="9" xfId="0" applyBorder="1"/>
    <xf numFmtId="0" fontId="0" fillId="0" borderId="10" xfId="0" applyBorder="1"/>
    <xf numFmtId="0" fontId="0" fillId="2" borderId="0" xfId="0" applyFill="1"/>
    <xf numFmtId="0" fontId="2" fillId="0" borderId="0" xfId="0" applyFon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/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F3A76-75CC-468A-B2D0-679897CD262F}">
  <dimension ref="A1:AM34"/>
  <sheetViews>
    <sheetView workbookViewId="0">
      <selection activeCell="G2" sqref="G2"/>
    </sheetView>
  </sheetViews>
  <sheetFormatPr defaultRowHeight="14.4" x14ac:dyDescent="0.3"/>
  <cols>
    <col min="1" max="1" width="7.77734375" bestFit="1" customWidth="1"/>
    <col min="2" max="2" width="14.5546875" customWidth="1"/>
    <col min="13" max="13" width="43" bestFit="1" customWidth="1"/>
  </cols>
  <sheetData>
    <row r="1" spans="1:39" x14ac:dyDescent="0.3">
      <c r="A1" s="20" t="s">
        <v>0</v>
      </c>
      <c r="B1" s="20" t="s">
        <v>1</v>
      </c>
      <c r="C1" s="22" t="s">
        <v>2</v>
      </c>
      <c r="D1" s="20"/>
      <c r="E1" s="23"/>
      <c r="F1" s="22" t="s">
        <v>3</v>
      </c>
      <c r="G1" s="20"/>
      <c r="H1" s="20"/>
      <c r="I1" s="20"/>
      <c r="J1" s="20"/>
      <c r="K1" s="23"/>
    </row>
    <row r="2" spans="1:39" x14ac:dyDescent="0.3">
      <c r="A2" s="21"/>
      <c r="B2" s="21"/>
      <c r="C2" s="1" t="s">
        <v>4</v>
      </c>
      <c r="D2" s="1" t="s">
        <v>5</v>
      </c>
      <c r="E2" s="2" t="s">
        <v>6</v>
      </c>
      <c r="F2" s="3" t="s">
        <v>4</v>
      </c>
      <c r="G2" s="4" t="s">
        <v>7</v>
      </c>
      <c r="H2" s="5" t="s">
        <v>8</v>
      </c>
      <c r="I2" s="6" t="s">
        <v>9</v>
      </c>
      <c r="J2" s="6" t="s">
        <v>10</v>
      </c>
      <c r="K2" s="7" t="s">
        <v>11</v>
      </c>
    </row>
    <row r="3" spans="1:39" x14ac:dyDescent="0.3">
      <c r="A3" t="s">
        <v>3</v>
      </c>
      <c r="B3" t="s">
        <v>12</v>
      </c>
      <c r="C3" s="8"/>
      <c r="E3" s="9"/>
      <c r="F3" s="8">
        <v>2180.15</v>
      </c>
      <c r="G3">
        <v>0.01</v>
      </c>
      <c r="H3">
        <v>146800</v>
      </c>
      <c r="I3">
        <v>-17.5</v>
      </c>
      <c r="J3">
        <v>201800</v>
      </c>
      <c r="K3" s="9">
        <v>-35</v>
      </c>
      <c r="M3" t="str">
        <f>IF(A3="Sand",(B3&amp;"="&amp;A3&amp;"(false,1,"&amp;C3&amp;","&amp;D3&amp;","&amp;E3&amp;");"),(B3&amp;"="&amp;A3&amp;"(false,1,"&amp;F3&amp;","&amp;G3&amp;","&amp;H3&amp;","&amp;I3&amp;","&amp;J3&amp;","&amp;K3&amp;");"))</f>
        <v>Soil2=Clay(false,1,2180.15,0.01,146800,-17.5,201800,-35);</v>
      </c>
    </row>
    <row r="4" spans="1:39" x14ac:dyDescent="0.3">
      <c r="A4" t="s">
        <v>3</v>
      </c>
      <c r="B4" t="s">
        <v>13</v>
      </c>
      <c r="C4" s="8"/>
      <c r="E4" s="9"/>
      <c r="F4" s="8">
        <v>1650.92</v>
      </c>
      <c r="G4">
        <v>0.01</v>
      </c>
      <c r="H4">
        <v>5650</v>
      </c>
      <c r="I4">
        <v>0</v>
      </c>
      <c r="J4">
        <v>52080</v>
      </c>
      <c r="K4" s="9">
        <v>-17.5</v>
      </c>
      <c r="M4" t="str">
        <f>IF(A4="Sand",(B4&amp;"="&amp;A4&amp;"(false,1,"&amp;C4&amp;","&amp;D4&amp;","&amp;E4&amp;");"),(B4&amp;"="&amp;A4&amp;"(false,1,"&amp;F4&amp;","&amp;G4&amp;","&amp;H4&amp;","&amp;I4&amp;","&amp;J4&amp;","&amp;K4&amp;");"))</f>
        <v>Soil1=Clay(false,1,1650.92,0.01,5650,0,52080,-17.5);</v>
      </c>
    </row>
    <row r="5" spans="1:39" x14ac:dyDescent="0.3">
      <c r="C5" s="8"/>
      <c r="E5" s="9"/>
      <c r="F5" s="8"/>
      <c r="K5" s="9"/>
    </row>
    <row r="6" spans="1:39" x14ac:dyDescent="0.3">
      <c r="B6" s="10"/>
      <c r="C6" s="8"/>
      <c r="E6" s="9"/>
      <c r="F6" s="8"/>
      <c r="K6" s="9"/>
      <c r="Z6" s="11"/>
      <c r="AM6" s="12"/>
    </row>
    <row r="7" spans="1:39" x14ac:dyDescent="0.3">
      <c r="C7" s="8"/>
      <c r="E7" s="9"/>
      <c r="F7" s="8"/>
      <c r="K7" s="9"/>
      <c r="Z7" s="11"/>
      <c r="AA7" s="13"/>
      <c r="AE7" s="13"/>
      <c r="AF7" s="13"/>
      <c r="AG7" s="13"/>
      <c r="AI7" s="13"/>
      <c r="AJ7" s="13"/>
      <c r="AM7" s="12"/>
    </row>
    <row r="8" spans="1:39" x14ac:dyDescent="0.3">
      <c r="C8" s="8"/>
      <c r="E8" s="9"/>
      <c r="F8" s="8"/>
      <c r="K8" s="9"/>
      <c r="Z8" s="11"/>
      <c r="AA8" s="13"/>
      <c r="AE8" s="13"/>
      <c r="AF8" s="13"/>
      <c r="AG8" s="13"/>
      <c r="AM8" s="12"/>
    </row>
    <row r="9" spans="1:39" x14ac:dyDescent="0.3">
      <c r="C9" s="8"/>
      <c r="E9" s="9"/>
      <c r="F9" s="8"/>
      <c r="K9" s="9"/>
    </row>
    <row r="10" spans="1:39" x14ac:dyDescent="0.3">
      <c r="C10" s="8"/>
      <c r="E10" s="9"/>
      <c r="F10" s="8"/>
      <c r="K10" s="9"/>
    </row>
    <row r="11" spans="1:39" x14ac:dyDescent="0.3">
      <c r="C11" s="8"/>
      <c r="E11" s="9"/>
      <c r="F11" s="8"/>
      <c r="K11" s="9"/>
    </row>
    <row r="12" spans="1:39" x14ac:dyDescent="0.3">
      <c r="C12" s="8"/>
      <c r="E12" s="9"/>
      <c r="F12" s="8"/>
      <c r="K12" s="9"/>
    </row>
    <row r="13" spans="1:39" x14ac:dyDescent="0.3">
      <c r="C13" s="8"/>
      <c r="E13" s="9"/>
      <c r="F13" s="8"/>
      <c r="K13" s="9"/>
    </row>
    <row r="14" spans="1:39" x14ac:dyDescent="0.3">
      <c r="C14" s="8"/>
      <c r="E14" s="9"/>
      <c r="F14" s="8"/>
      <c r="K14" s="9"/>
    </row>
    <row r="15" spans="1:39" x14ac:dyDescent="0.3">
      <c r="C15" s="8"/>
      <c r="E15" s="9"/>
      <c r="F15" s="8"/>
      <c r="K15" s="9"/>
    </row>
    <row r="16" spans="1:39" x14ac:dyDescent="0.3">
      <c r="C16" s="8"/>
      <c r="E16" s="9"/>
      <c r="F16" s="8"/>
      <c r="K16" s="9"/>
    </row>
    <row r="17" spans="3:11" x14ac:dyDescent="0.3">
      <c r="C17" s="8"/>
      <c r="E17" s="9"/>
      <c r="F17" s="8"/>
      <c r="K17" s="9"/>
    </row>
    <row r="18" spans="3:11" x14ac:dyDescent="0.3">
      <c r="C18" s="8"/>
      <c r="E18" s="9"/>
      <c r="F18" s="8"/>
      <c r="K18" s="9"/>
    </row>
    <row r="19" spans="3:11" x14ac:dyDescent="0.3">
      <c r="C19" s="8"/>
      <c r="E19" s="9"/>
      <c r="F19" s="8"/>
      <c r="K19" s="9"/>
    </row>
    <row r="20" spans="3:11" x14ac:dyDescent="0.3">
      <c r="C20" s="8"/>
      <c r="E20" s="9"/>
      <c r="F20" s="8"/>
      <c r="K20" s="9"/>
    </row>
    <row r="21" spans="3:11" x14ac:dyDescent="0.3">
      <c r="C21" s="8"/>
      <c r="E21" s="9"/>
      <c r="F21" s="8"/>
      <c r="K21" s="9"/>
    </row>
    <row r="22" spans="3:11" x14ac:dyDescent="0.3">
      <c r="C22" s="8"/>
      <c r="E22" s="9"/>
      <c r="F22" s="8"/>
      <c r="K22" s="9"/>
    </row>
    <row r="23" spans="3:11" x14ac:dyDescent="0.3">
      <c r="C23" s="8"/>
      <c r="E23" s="9"/>
      <c r="F23" s="8"/>
      <c r="K23" s="9"/>
    </row>
    <row r="24" spans="3:11" x14ac:dyDescent="0.3">
      <c r="C24" s="8"/>
      <c r="E24" s="9"/>
      <c r="F24" s="8"/>
      <c r="K24" s="9"/>
    </row>
    <row r="25" spans="3:11" x14ac:dyDescent="0.3">
      <c r="C25" s="8"/>
      <c r="E25" s="9"/>
      <c r="F25" s="8"/>
      <c r="K25" s="9"/>
    </row>
    <row r="26" spans="3:11" x14ac:dyDescent="0.3">
      <c r="C26" s="8"/>
      <c r="E26" s="9"/>
      <c r="F26" s="8"/>
      <c r="K26" s="9"/>
    </row>
    <row r="27" spans="3:11" x14ac:dyDescent="0.3">
      <c r="C27" s="8"/>
      <c r="E27" s="9"/>
      <c r="F27" s="8"/>
      <c r="K27" s="9"/>
    </row>
    <row r="28" spans="3:11" x14ac:dyDescent="0.3">
      <c r="C28" s="8"/>
      <c r="E28" s="9"/>
      <c r="F28" s="8"/>
      <c r="K28" s="9"/>
    </row>
    <row r="29" spans="3:11" x14ac:dyDescent="0.3">
      <c r="C29" s="8"/>
      <c r="E29" s="9"/>
      <c r="F29" s="8"/>
      <c r="K29" s="9"/>
    </row>
    <row r="30" spans="3:11" x14ac:dyDescent="0.3">
      <c r="C30" s="8"/>
      <c r="E30" s="9"/>
      <c r="F30" s="8"/>
      <c r="K30" s="9"/>
    </row>
    <row r="31" spans="3:11" x14ac:dyDescent="0.3">
      <c r="C31" s="8"/>
      <c r="E31" s="9"/>
      <c r="F31" s="8"/>
      <c r="K31" s="9"/>
    </row>
    <row r="32" spans="3:11" x14ac:dyDescent="0.3">
      <c r="C32" s="8"/>
      <c r="E32" s="9"/>
      <c r="F32" s="8"/>
      <c r="K32" s="9"/>
    </row>
    <row r="33" spans="3:11" x14ac:dyDescent="0.3">
      <c r="C33" s="8"/>
      <c r="E33" s="9"/>
      <c r="F33" s="8"/>
      <c r="K33" s="9"/>
    </row>
    <row r="34" spans="3:11" x14ac:dyDescent="0.3">
      <c r="C34" s="8"/>
      <c r="E34" s="9"/>
      <c r="F34" s="8"/>
      <c r="K34" s="9"/>
    </row>
  </sheetData>
  <mergeCells count="4">
    <mergeCell ref="A1:A2"/>
    <mergeCell ref="B1:B2"/>
    <mergeCell ref="C1:E1"/>
    <mergeCell ref="F1:K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B60CA-963B-43B1-B8E1-321C2E434C8A}">
  <dimension ref="A1:N2"/>
  <sheetViews>
    <sheetView workbookViewId="0">
      <selection activeCell="N2" sqref="N2"/>
    </sheetView>
  </sheetViews>
  <sheetFormatPr defaultRowHeight="14.4" x14ac:dyDescent="0.3"/>
  <cols>
    <col min="1" max="1" width="8.77734375" bestFit="1" customWidth="1"/>
  </cols>
  <sheetData>
    <row r="1" spans="1:14" x14ac:dyDescent="0.3">
      <c r="A1" t="s">
        <v>14</v>
      </c>
      <c r="B1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9</v>
      </c>
      <c r="I1" s="14" t="s">
        <v>11</v>
      </c>
      <c r="J1" s="14" t="s">
        <v>21</v>
      </c>
      <c r="K1" s="14" t="s">
        <v>22</v>
      </c>
      <c r="L1" s="14" t="s">
        <v>23</v>
      </c>
    </row>
    <row r="2" spans="1:14" x14ac:dyDescent="0.3">
      <c r="A2" t="s">
        <v>24</v>
      </c>
      <c r="B2">
        <v>-1</v>
      </c>
      <c r="C2">
        <v>0.3</v>
      </c>
      <c r="D2">
        <v>0</v>
      </c>
      <c r="E2">
        <v>0</v>
      </c>
      <c r="F2">
        <v>0</v>
      </c>
      <c r="G2">
        <v>0</v>
      </c>
      <c r="H2">
        <v>0</v>
      </c>
      <c r="I2">
        <v>-35</v>
      </c>
      <c r="J2">
        <v>0.01</v>
      </c>
      <c r="K2">
        <v>0</v>
      </c>
      <c r="L2">
        <v>0.05</v>
      </c>
      <c r="N2" t="str">
        <f>A2&amp;"=SoilData("&amp;B2&amp;","&amp;C2&amp;","&amp;D2&amp;","&amp;E2&amp;","&amp;F2&amp;","&amp;G2&amp;","&amp;H2&amp;","&amp;I2&amp;","&amp;J2&amp;","&amp;K2&amp;","&amp;L2&amp;");"</f>
        <v>SoilData1=SoilData(-1,0.3,0,0,0,0,0,-35,0.01,0,0.05);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67507-2579-49A7-99DC-5712E0816C74}">
  <dimension ref="A1:F41"/>
  <sheetViews>
    <sheetView topLeftCell="A11" workbookViewId="0">
      <selection activeCell="F3" sqref="F3:F40"/>
    </sheetView>
  </sheetViews>
  <sheetFormatPr defaultRowHeight="14.4" x14ac:dyDescent="0.3"/>
  <cols>
    <col min="1" max="1" width="9.33203125" bestFit="1" customWidth="1"/>
    <col min="3" max="3" width="11.88671875" customWidth="1"/>
    <col min="4" max="4" width="12.88671875" customWidth="1"/>
    <col min="5" max="5" width="13.109375" customWidth="1"/>
    <col min="6" max="6" width="48.33203125" bestFit="1" customWidth="1"/>
  </cols>
  <sheetData>
    <row r="1" spans="1:6" x14ac:dyDescent="0.3">
      <c r="A1" t="s">
        <v>14</v>
      </c>
      <c r="B1" t="s">
        <v>26</v>
      </c>
      <c r="C1" t="s">
        <v>27</v>
      </c>
      <c r="D1" t="s">
        <v>28</v>
      </c>
      <c r="E1" t="s">
        <v>29</v>
      </c>
    </row>
    <row r="2" spans="1:6" x14ac:dyDescent="0.3">
      <c r="A2" t="s">
        <v>25</v>
      </c>
      <c r="B2">
        <v>1</v>
      </c>
      <c r="C2" t="s">
        <v>32</v>
      </c>
      <c r="D2" t="s">
        <v>30</v>
      </c>
      <c r="E2" t="s">
        <v>31</v>
      </c>
      <c r="F2" t="str">
        <f>A2&amp;B2&amp;"=SoilCurves("&amp;_xlfn.TEXTJOIN(",",FALSE,C2:E2)&amp;");"</f>
        <v>SoilCurves1=SoilCurves(pyManual,tzAPI2014,qzAPI2014);</v>
      </c>
    </row>
    <row r="3" spans="1:6" x14ac:dyDescent="0.3">
      <c r="A3" t="s">
        <v>25</v>
      </c>
      <c r="B3">
        <v>2</v>
      </c>
      <c r="C3" t="s">
        <v>32</v>
      </c>
      <c r="D3" t="s">
        <v>30</v>
      </c>
      <c r="E3" t="s">
        <v>31</v>
      </c>
      <c r="F3" t="str">
        <f t="shared" ref="F3:F41" si="0">A3&amp;B3&amp;"=SoilCurves("&amp;_xlfn.TEXTJOIN(",",FALSE,C3:E3)&amp;");"</f>
        <v>SoilCurves2=SoilCurves(pyManual,tzAPI2014,qzAPI2014);</v>
      </c>
    </row>
    <row r="4" spans="1:6" x14ac:dyDescent="0.3">
      <c r="A4" t="s">
        <v>25</v>
      </c>
      <c r="B4">
        <v>3</v>
      </c>
      <c r="C4" t="s">
        <v>32</v>
      </c>
      <c r="D4" t="s">
        <v>30</v>
      </c>
      <c r="E4" t="s">
        <v>31</v>
      </c>
      <c r="F4" t="str">
        <f t="shared" si="0"/>
        <v>SoilCurves3=SoilCurves(pyManual,tzAPI2014,qzAPI2014);</v>
      </c>
    </row>
    <row r="5" spans="1:6" x14ac:dyDescent="0.3">
      <c r="A5" t="s">
        <v>25</v>
      </c>
      <c r="B5">
        <v>4</v>
      </c>
      <c r="C5" t="s">
        <v>32</v>
      </c>
      <c r="D5" t="s">
        <v>30</v>
      </c>
      <c r="E5" t="s">
        <v>31</v>
      </c>
      <c r="F5" t="str">
        <f t="shared" si="0"/>
        <v>SoilCurves4=SoilCurves(pyManual,tzAPI2014,qzAPI2014);</v>
      </c>
    </row>
    <row r="6" spans="1:6" x14ac:dyDescent="0.3">
      <c r="A6" t="s">
        <v>25</v>
      </c>
      <c r="B6">
        <v>5</v>
      </c>
      <c r="C6" t="s">
        <v>32</v>
      </c>
      <c r="D6" t="s">
        <v>30</v>
      </c>
      <c r="E6" t="s">
        <v>31</v>
      </c>
      <c r="F6" t="str">
        <f t="shared" si="0"/>
        <v>SoilCurves5=SoilCurves(pyManual,tzAPI2014,qzAPI2014);</v>
      </c>
    </row>
    <row r="7" spans="1:6" x14ac:dyDescent="0.3">
      <c r="A7" t="s">
        <v>25</v>
      </c>
      <c r="B7">
        <v>6</v>
      </c>
      <c r="C7" t="s">
        <v>32</v>
      </c>
      <c r="D7" t="s">
        <v>30</v>
      </c>
      <c r="E7" t="s">
        <v>31</v>
      </c>
      <c r="F7" t="str">
        <f t="shared" si="0"/>
        <v>SoilCurves6=SoilCurves(pyManual,tzAPI2014,qzAPI2014);</v>
      </c>
    </row>
    <row r="8" spans="1:6" x14ac:dyDescent="0.3">
      <c r="A8" t="s">
        <v>25</v>
      </c>
      <c r="B8">
        <v>7</v>
      </c>
      <c r="C8" t="s">
        <v>32</v>
      </c>
      <c r="D8" t="s">
        <v>30</v>
      </c>
      <c r="E8" t="s">
        <v>31</v>
      </c>
      <c r="F8" t="str">
        <f t="shared" si="0"/>
        <v>SoilCurves7=SoilCurves(pyManual,tzAPI2014,qzAPI2014);</v>
      </c>
    </row>
    <row r="9" spans="1:6" x14ac:dyDescent="0.3">
      <c r="A9" t="s">
        <v>25</v>
      </c>
      <c r="B9">
        <v>8</v>
      </c>
      <c r="C9" t="s">
        <v>32</v>
      </c>
      <c r="D9" t="s">
        <v>30</v>
      </c>
      <c r="E9" t="s">
        <v>31</v>
      </c>
      <c r="F9" t="str">
        <f t="shared" si="0"/>
        <v>SoilCurves8=SoilCurves(pyManual,tzAPI2014,qzAPI2014);</v>
      </c>
    </row>
    <row r="10" spans="1:6" x14ac:dyDescent="0.3">
      <c r="A10" t="s">
        <v>25</v>
      </c>
      <c r="B10">
        <v>9</v>
      </c>
      <c r="C10" t="s">
        <v>32</v>
      </c>
      <c r="D10" t="s">
        <v>30</v>
      </c>
      <c r="E10" t="s">
        <v>31</v>
      </c>
      <c r="F10" t="str">
        <f t="shared" si="0"/>
        <v>SoilCurves9=SoilCurves(pyManual,tzAPI2014,qzAPI2014);</v>
      </c>
    </row>
    <row r="11" spans="1:6" x14ac:dyDescent="0.3">
      <c r="A11" t="s">
        <v>25</v>
      </c>
      <c r="B11">
        <v>10</v>
      </c>
      <c r="C11" t="s">
        <v>32</v>
      </c>
      <c r="D11" t="s">
        <v>30</v>
      </c>
      <c r="E11" t="s">
        <v>31</v>
      </c>
      <c r="F11" t="str">
        <f t="shared" si="0"/>
        <v>SoilCurves10=SoilCurves(pyManual,tzAPI2014,qzAPI2014);</v>
      </c>
    </row>
    <row r="12" spans="1:6" x14ac:dyDescent="0.3">
      <c r="A12" t="s">
        <v>25</v>
      </c>
      <c r="B12">
        <v>11</v>
      </c>
      <c r="C12" t="s">
        <v>32</v>
      </c>
      <c r="D12" t="s">
        <v>30</v>
      </c>
      <c r="E12" t="s">
        <v>31</v>
      </c>
      <c r="F12" t="str">
        <f t="shared" si="0"/>
        <v>SoilCurves11=SoilCurves(pyManual,tzAPI2014,qzAPI2014);</v>
      </c>
    </row>
    <row r="13" spans="1:6" x14ac:dyDescent="0.3">
      <c r="A13" t="s">
        <v>25</v>
      </c>
      <c r="B13">
        <v>12</v>
      </c>
      <c r="C13" t="s">
        <v>32</v>
      </c>
      <c r="D13" t="s">
        <v>30</v>
      </c>
      <c r="E13" t="s">
        <v>31</v>
      </c>
      <c r="F13" t="str">
        <f t="shared" si="0"/>
        <v>SoilCurves12=SoilCurves(pyManual,tzAPI2014,qzAPI2014);</v>
      </c>
    </row>
    <row r="14" spans="1:6" x14ac:dyDescent="0.3">
      <c r="A14" t="s">
        <v>25</v>
      </c>
      <c r="B14">
        <v>13</v>
      </c>
      <c r="C14" t="s">
        <v>32</v>
      </c>
      <c r="D14" t="s">
        <v>30</v>
      </c>
      <c r="E14" t="s">
        <v>31</v>
      </c>
      <c r="F14" t="str">
        <f t="shared" si="0"/>
        <v>SoilCurves13=SoilCurves(pyManual,tzAPI2014,qzAPI2014);</v>
      </c>
    </row>
    <row r="15" spans="1:6" x14ac:dyDescent="0.3">
      <c r="A15" t="s">
        <v>25</v>
      </c>
      <c r="B15">
        <v>14</v>
      </c>
      <c r="C15" t="s">
        <v>32</v>
      </c>
      <c r="D15" t="s">
        <v>30</v>
      </c>
      <c r="E15" t="s">
        <v>31</v>
      </c>
      <c r="F15" t="str">
        <f t="shared" si="0"/>
        <v>SoilCurves14=SoilCurves(pyManual,tzAPI2014,qzAPI2014);</v>
      </c>
    </row>
    <row r="16" spans="1:6" x14ac:dyDescent="0.3">
      <c r="A16" t="s">
        <v>25</v>
      </c>
      <c r="B16">
        <v>15</v>
      </c>
      <c r="C16" t="s">
        <v>32</v>
      </c>
      <c r="D16" t="s">
        <v>30</v>
      </c>
      <c r="E16" t="s">
        <v>31</v>
      </c>
      <c r="F16" t="str">
        <f t="shared" si="0"/>
        <v>SoilCurves15=SoilCurves(pyManual,tzAPI2014,qzAPI2014);</v>
      </c>
    </row>
    <row r="17" spans="1:6" x14ac:dyDescent="0.3">
      <c r="A17" t="s">
        <v>25</v>
      </c>
      <c r="B17">
        <v>16</v>
      </c>
      <c r="C17" t="s">
        <v>32</v>
      </c>
      <c r="D17" t="s">
        <v>30</v>
      </c>
      <c r="E17" t="s">
        <v>31</v>
      </c>
      <c r="F17" t="str">
        <f t="shared" si="0"/>
        <v>SoilCurves16=SoilCurves(pyManual,tzAPI2014,qzAPI2014);</v>
      </c>
    </row>
    <row r="18" spans="1:6" x14ac:dyDescent="0.3">
      <c r="A18" t="s">
        <v>25</v>
      </c>
      <c r="B18">
        <v>17</v>
      </c>
      <c r="C18" t="s">
        <v>32</v>
      </c>
      <c r="D18" t="s">
        <v>30</v>
      </c>
      <c r="E18" t="s">
        <v>31</v>
      </c>
      <c r="F18" t="str">
        <f t="shared" si="0"/>
        <v>SoilCurves17=SoilCurves(pyManual,tzAPI2014,qzAPI2014);</v>
      </c>
    </row>
    <row r="19" spans="1:6" x14ac:dyDescent="0.3">
      <c r="A19" t="s">
        <v>25</v>
      </c>
      <c r="B19">
        <v>18</v>
      </c>
      <c r="C19" t="s">
        <v>32</v>
      </c>
      <c r="D19" t="s">
        <v>30</v>
      </c>
      <c r="E19" t="s">
        <v>31</v>
      </c>
      <c r="F19" t="str">
        <f t="shared" si="0"/>
        <v>SoilCurves18=SoilCurves(pyManual,tzAPI2014,qzAPI2014);</v>
      </c>
    </row>
    <row r="20" spans="1:6" x14ac:dyDescent="0.3">
      <c r="A20" t="s">
        <v>25</v>
      </c>
      <c r="B20">
        <v>19</v>
      </c>
      <c r="C20" t="s">
        <v>32</v>
      </c>
      <c r="D20" t="s">
        <v>30</v>
      </c>
      <c r="E20" t="s">
        <v>31</v>
      </c>
      <c r="F20" t="str">
        <f t="shared" si="0"/>
        <v>SoilCurves19=SoilCurves(pyManual,tzAPI2014,qzAPI2014);</v>
      </c>
    </row>
    <row r="21" spans="1:6" x14ac:dyDescent="0.3">
      <c r="A21" t="s">
        <v>25</v>
      </c>
      <c r="B21">
        <v>20</v>
      </c>
      <c r="C21" t="s">
        <v>32</v>
      </c>
      <c r="D21" t="s">
        <v>30</v>
      </c>
      <c r="E21" t="s">
        <v>31</v>
      </c>
      <c r="F21" t="str">
        <f t="shared" si="0"/>
        <v>SoilCurves20=SoilCurves(pyManual,tzAPI2014,qzAPI2014);</v>
      </c>
    </row>
    <row r="22" spans="1:6" x14ac:dyDescent="0.3">
      <c r="A22" t="s">
        <v>25</v>
      </c>
      <c r="B22">
        <v>21</v>
      </c>
      <c r="C22" t="s">
        <v>32</v>
      </c>
      <c r="D22" t="s">
        <v>30</v>
      </c>
      <c r="E22" t="s">
        <v>31</v>
      </c>
      <c r="F22" t="str">
        <f t="shared" si="0"/>
        <v>SoilCurves21=SoilCurves(pyManual,tzAPI2014,qzAPI2014);</v>
      </c>
    </row>
    <row r="23" spans="1:6" x14ac:dyDescent="0.3">
      <c r="A23" t="s">
        <v>25</v>
      </c>
      <c r="B23">
        <v>22</v>
      </c>
      <c r="C23" t="s">
        <v>32</v>
      </c>
      <c r="D23" t="s">
        <v>30</v>
      </c>
      <c r="E23" t="s">
        <v>31</v>
      </c>
      <c r="F23" t="str">
        <f t="shared" si="0"/>
        <v>SoilCurves22=SoilCurves(pyManual,tzAPI2014,qzAPI2014);</v>
      </c>
    </row>
    <row r="24" spans="1:6" x14ac:dyDescent="0.3">
      <c r="A24" t="s">
        <v>25</v>
      </c>
      <c r="B24">
        <v>23</v>
      </c>
      <c r="C24" t="s">
        <v>32</v>
      </c>
      <c r="D24" t="s">
        <v>30</v>
      </c>
      <c r="E24" t="s">
        <v>31</v>
      </c>
      <c r="F24" t="str">
        <f t="shared" si="0"/>
        <v>SoilCurves23=SoilCurves(pyManual,tzAPI2014,qzAPI2014);</v>
      </c>
    </row>
    <row r="25" spans="1:6" x14ac:dyDescent="0.3">
      <c r="A25" t="s">
        <v>25</v>
      </c>
      <c r="B25">
        <v>24</v>
      </c>
      <c r="C25" t="s">
        <v>32</v>
      </c>
      <c r="D25" t="s">
        <v>30</v>
      </c>
      <c r="E25" t="s">
        <v>31</v>
      </c>
      <c r="F25" t="str">
        <f t="shared" si="0"/>
        <v>SoilCurves24=SoilCurves(pyManual,tzAPI2014,qzAPI2014);</v>
      </c>
    </row>
    <row r="26" spans="1:6" x14ac:dyDescent="0.3">
      <c r="A26" t="s">
        <v>25</v>
      </c>
      <c r="B26">
        <v>25</v>
      </c>
      <c r="C26" t="s">
        <v>32</v>
      </c>
      <c r="D26" t="s">
        <v>30</v>
      </c>
      <c r="E26" t="s">
        <v>31</v>
      </c>
      <c r="F26" t="str">
        <f t="shared" si="0"/>
        <v>SoilCurves25=SoilCurves(pyManual,tzAPI2014,qzAPI2014);</v>
      </c>
    </row>
    <row r="27" spans="1:6" x14ac:dyDescent="0.3">
      <c r="A27" t="s">
        <v>25</v>
      </c>
      <c r="B27">
        <v>26</v>
      </c>
      <c r="C27" t="s">
        <v>32</v>
      </c>
      <c r="D27" t="s">
        <v>30</v>
      </c>
      <c r="E27" t="s">
        <v>31</v>
      </c>
      <c r="F27" t="str">
        <f t="shared" si="0"/>
        <v>SoilCurves26=SoilCurves(pyManual,tzAPI2014,qzAPI2014);</v>
      </c>
    </row>
    <row r="28" spans="1:6" x14ac:dyDescent="0.3">
      <c r="A28" t="s">
        <v>25</v>
      </c>
      <c r="B28">
        <v>27</v>
      </c>
      <c r="C28" t="s">
        <v>32</v>
      </c>
      <c r="D28" t="s">
        <v>30</v>
      </c>
      <c r="E28" t="s">
        <v>31</v>
      </c>
      <c r="F28" t="str">
        <f t="shared" si="0"/>
        <v>SoilCurves27=SoilCurves(pyManual,tzAPI2014,qzAPI2014);</v>
      </c>
    </row>
    <row r="29" spans="1:6" x14ac:dyDescent="0.3">
      <c r="A29" t="s">
        <v>25</v>
      </c>
      <c r="B29">
        <v>28</v>
      </c>
      <c r="C29" t="s">
        <v>32</v>
      </c>
      <c r="D29" t="s">
        <v>30</v>
      </c>
      <c r="E29" t="s">
        <v>31</v>
      </c>
      <c r="F29" t="str">
        <f t="shared" si="0"/>
        <v>SoilCurves28=SoilCurves(pyManual,tzAPI2014,qzAPI2014);</v>
      </c>
    </row>
    <row r="30" spans="1:6" x14ac:dyDescent="0.3">
      <c r="A30" t="s">
        <v>25</v>
      </c>
      <c r="B30">
        <v>29</v>
      </c>
      <c r="C30" t="s">
        <v>32</v>
      </c>
      <c r="D30" t="s">
        <v>30</v>
      </c>
      <c r="E30" t="s">
        <v>31</v>
      </c>
      <c r="F30" t="str">
        <f t="shared" si="0"/>
        <v>SoilCurves29=SoilCurves(pyManual,tzAPI2014,qzAPI2014);</v>
      </c>
    </row>
    <row r="31" spans="1:6" x14ac:dyDescent="0.3">
      <c r="A31" t="s">
        <v>25</v>
      </c>
      <c r="B31">
        <v>30</v>
      </c>
      <c r="C31" t="s">
        <v>32</v>
      </c>
      <c r="D31" t="s">
        <v>30</v>
      </c>
      <c r="E31" t="s">
        <v>31</v>
      </c>
      <c r="F31" t="str">
        <f t="shared" si="0"/>
        <v>SoilCurves30=SoilCurves(pyManual,tzAPI2014,qzAPI2014);</v>
      </c>
    </row>
    <row r="32" spans="1:6" x14ac:dyDescent="0.3">
      <c r="A32" t="s">
        <v>25</v>
      </c>
      <c r="B32">
        <v>31</v>
      </c>
      <c r="C32" t="s">
        <v>32</v>
      </c>
      <c r="D32" t="s">
        <v>30</v>
      </c>
      <c r="E32" t="s">
        <v>31</v>
      </c>
      <c r="F32" t="str">
        <f t="shared" si="0"/>
        <v>SoilCurves31=SoilCurves(pyManual,tzAPI2014,qzAPI2014);</v>
      </c>
    </row>
    <row r="33" spans="1:6" x14ac:dyDescent="0.3">
      <c r="A33" t="s">
        <v>25</v>
      </c>
      <c r="B33">
        <v>32</v>
      </c>
      <c r="C33" t="s">
        <v>32</v>
      </c>
      <c r="D33" t="s">
        <v>30</v>
      </c>
      <c r="E33" t="s">
        <v>31</v>
      </c>
      <c r="F33" t="str">
        <f t="shared" si="0"/>
        <v>SoilCurves32=SoilCurves(pyManual,tzAPI2014,qzAPI2014);</v>
      </c>
    </row>
    <row r="34" spans="1:6" x14ac:dyDescent="0.3">
      <c r="A34" t="s">
        <v>25</v>
      </c>
      <c r="B34">
        <v>33</v>
      </c>
      <c r="C34" t="s">
        <v>32</v>
      </c>
      <c r="D34" t="s">
        <v>30</v>
      </c>
      <c r="E34" t="s">
        <v>31</v>
      </c>
      <c r="F34" t="str">
        <f t="shared" si="0"/>
        <v>SoilCurves33=SoilCurves(pyManual,tzAPI2014,qzAPI2014);</v>
      </c>
    </row>
    <row r="35" spans="1:6" x14ac:dyDescent="0.3">
      <c r="A35" t="s">
        <v>25</v>
      </c>
      <c r="B35">
        <v>34</v>
      </c>
      <c r="C35" t="s">
        <v>32</v>
      </c>
      <c r="D35" t="s">
        <v>30</v>
      </c>
      <c r="E35" t="s">
        <v>31</v>
      </c>
      <c r="F35" t="str">
        <f t="shared" si="0"/>
        <v>SoilCurves34=SoilCurves(pyManual,tzAPI2014,qzAPI2014);</v>
      </c>
    </row>
    <row r="36" spans="1:6" x14ac:dyDescent="0.3">
      <c r="A36" t="s">
        <v>25</v>
      </c>
      <c r="B36">
        <v>35</v>
      </c>
      <c r="C36" t="s">
        <v>32</v>
      </c>
      <c r="D36" t="s">
        <v>30</v>
      </c>
      <c r="E36" t="s">
        <v>31</v>
      </c>
      <c r="F36" t="str">
        <f t="shared" si="0"/>
        <v>SoilCurves35=SoilCurves(pyManual,tzAPI2014,qzAPI2014);</v>
      </c>
    </row>
    <row r="37" spans="1:6" x14ac:dyDescent="0.3">
      <c r="A37" t="s">
        <v>25</v>
      </c>
      <c r="B37">
        <v>36</v>
      </c>
      <c r="C37" t="s">
        <v>32</v>
      </c>
      <c r="D37" t="s">
        <v>30</v>
      </c>
      <c r="E37" t="s">
        <v>31</v>
      </c>
      <c r="F37" t="str">
        <f t="shared" si="0"/>
        <v>SoilCurves36=SoilCurves(pyManual,tzAPI2014,qzAPI2014);</v>
      </c>
    </row>
    <row r="38" spans="1:6" x14ac:dyDescent="0.3">
      <c r="A38" t="s">
        <v>25</v>
      </c>
      <c r="B38">
        <v>37</v>
      </c>
      <c r="C38" t="s">
        <v>32</v>
      </c>
      <c r="D38" t="s">
        <v>30</v>
      </c>
      <c r="E38" t="s">
        <v>31</v>
      </c>
      <c r="F38" t="str">
        <f t="shared" si="0"/>
        <v>SoilCurves37=SoilCurves(pyManual,tzAPI2014,qzAPI2014);</v>
      </c>
    </row>
    <row r="39" spans="1:6" x14ac:dyDescent="0.3">
      <c r="A39" t="s">
        <v>25</v>
      </c>
      <c r="B39">
        <v>38</v>
      </c>
      <c r="C39" t="s">
        <v>32</v>
      </c>
      <c r="D39" t="s">
        <v>30</v>
      </c>
      <c r="E39" t="s">
        <v>31</v>
      </c>
      <c r="F39" t="str">
        <f t="shared" si="0"/>
        <v>SoilCurves38=SoilCurves(pyManual,tzAPI2014,qzAPI2014);</v>
      </c>
    </row>
    <row r="40" spans="1:6" x14ac:dyDescent="0.3">
      <c r="A40" t="s">
        <v>25</v>
      </c>
      <c r="B40">
        <v>39</v>
      </c>
      <c r="C40" t="s">
        <v>32</v>
      </c>
      <c r="D40" t="s">
        <v>30</v>
      </c>
      <c r="E40" t="s">
        <v>31</v>
      </c>
      <c r="F40" t="str">
        <f t="shared" si="0"/>
        <v>SoilCurves39=SoilCurves(pyManual,tzAPI2014,qzAPI2014);</v>
      </c>
    </row>
    <row r="41" spans="1:6" x14ac:dyDescent="0.3">
      <c r="A41" t="s">
        <v>25</v>
      </c>
      <c r="B41">
        <v>40</v>
      </c>
      <c r="C41" t="s">
        <v>32</v>
      </c>
      <c r="D41" t="s">
        <v>30</v>
      </c>
      <c r="E41" t="s">
        <v>31</v>
      </c>
      <c r="F41" t="str">
        <f t="shared" si="0"/>
        <v>SoilCurves40=SoilCurves(pyManual,tzAPI2014,qzAPI2014);</v>
      </c>
    </row>
  </sheetData>
  <phoneticPr fontId="5" type="noConversion"/>
  <dataValidations count="3">
    <dataValidation type="list" allowBlank="1" showInputMessage="1" showErrorMessage="1" sqref="C2:C41" xr:uid="{95070079-E381-4F98-8923-FD9FF8459615}">
      <formula1>"pyAPI1984,pyAPI1987,pyAPI2014,pyAutoLinear,pyAutoBilinear,pyAutoTrilinear,pyDNV1980,pyISO2004,pyManual,pyModifmatlock"</formula1>
    </dataValidation>
    <dataValidation type="list" allowBlank="1" showInputMessage="1" showErrorMessage="1" sqref="D2:D41" xr:uid="{74DE58D7-4306-40D6-9B0A-A53A7252CCEF}">
      <formula1>"tzAPI1993,tzAPI2014,tzAutoBilinear,tzAutoLinear,tzAutoTrilinear,tzKraft,tzManual"</formula1>
    </dataValidation>
    <dataValidation type="list" allowBlank="1" showInputMessage="1" showErrorMessage="1" sqref="E2:E41" xr:uid="{066793C8-0B9B-4085-A74D-1B914824ED02}">
      <formula1>"qzAPI1993,qzAPI2014,qzAutoBilinear,qzAutoLinear,qzAutoTrilinear,qzElasticTheory,qzManual"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DE67D-E01D-44F5-819A-B576B073464B}">
  <dimension ref="A1:S11"/>
  <sheetViews>
    <sheetView workbookViewId="0">
      <selection activeCell="J16" sqref="J16"/>
    </sheetView>
  </sheetViews>
  <sheetFormatPr defaultRowHeight="14.4" x14ac:dyDescent="0.3"/>
  <cols>
    <col min="1" max="1" width="11.88671875" bestFit="1" customWidth="1"/>
    <col min="19" max="19" width="92.109375" bestFit="1" customWidth="1"/>
  </cols>
  <sheetData>
    <row r="1" spans="1:19" x14ac:dyDescent="0.3">
      <c r="A1" t="s">
        <v>33</v>
      </c>
      <c r="C1">
        <v>8.75</v>
      </c>
    </row>
    <row r="3" spans="1:19" x14ac:dyDescent="0.3">
      <c r="A3" s="15" t="s">
        <v>34</v>
      </c>
      <c r="B3" s="15" t="s">
        <v>35</v>
      </c>
      <c r="C3" s="16" t="s">
        <v>90</v>
      </c>
      <c r="D3" s="16" t="s">
        <v>91</v>
      </c>
      <c r="E3" s="16" t="s">
        <v>92</v>
      </c>
      <c r="F3" s="16" t="s">
        <v>93</v>
      </c>
      <c r="G3" s="16" t="s">
        <v>94</v>
      </c>
      <c r="H3" s="16" t="s">
        <v>95</v>
      </c>
      <c r="I3" s="16" t="s">
        <v>96</v>
      </c>
      <c r="J3" s="16" t="s">
        <v>97</v>
      </c>
      <c r="K3" s="16" t="s">
        <v>98</v>
      </c>
      <c r="L3" s="16" t="s">
        <v>99</v>
      </c>
      <c r="M3" s="16" t="s">
        <v>100</v>
      </c>
      <c r="N3" s="16" t="s">
        <v>101</v>
      </c>
      <c r="O3" s="16" t="s">
        <v>102</v>
      </c>
      <c r="P3" s="16" t="s">
        <v>103</v>
      </c>
      <c r="Q3" s="16" t="s">
        <v>104</v>
      </c>
    </row>
    <row r="4" spans="1:19" x14ac:dyDescent="0.3">
      <c r="A4" s="15">
        <v>1</v>
      </c>
      <c r="B4" s="15" t="s">
        <v>41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S4" t="str">
        <f>IF(B4="T","SoilCurves"&amp;A4&amp;".addManualTZ("&amp;$C$1&amp;",Array("&amp;_xlfn.TEXTJOIN(",",TRUE,C5:Q5)&amp;"),Array("&amp;_xlfn.TEXTJOIN(",",TRUE,C4:Q4)&amp;"));","")</f>
        <v>SoilCurves1.addManualTZ(8.75,Array(),Array());</v>
      </c>
    </row>
    <row r="5" spans="1:19" x14ac:dyDescent="0.3">
      <c r="A5" s="15"/>
      <c r="B5" s="15" t="s">
        <v>42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6"/>
      <c r="P5" s="16"/>
      <c r="Q5" s="16"/>
    </row>
    <row r="6" spans="1:19" x14ac:dyDescent="0.3">
      <c r="A6" s="15">
        <v>2</v>
      </c>
      <c r="B6" s="15" t="s">
        <v>41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</row>
    <row r="7" spans="1:19" x14ac:dyDescent="0.3">
      <c r="A7" s="15"/>
      <c r="B7" s="15" t="s">
        <v>42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8"/>
      <c r="P7" s="18"/>
      <c r="Q7" s="18"/>
    </row>
    <row r="8" spans="1:19" x14ac:dyDescent="0.3">
      <c r="A8" s="15">
        <v>3</v>
      </c>
      <c r="B8" s="15" t="s">
        <v>41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8"/>
      <c r="P8" s="18"/>
      <c r="Q8" s="18"/>
    </row>
    <row r="9" spans="1:19" x14ac:dyDescent="0.3">
      <c r="A9" s="15"/>
      <c r="B9" s="15" t="s">
        <v>42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8"/>
      <c r="P9" s="18"/>
      <c r="Q9" s="18"/>
    </row>
    <row r="10" spans="1:19" x14ac:dyDescent="0.3">
      <c r="A10" s="15">
        <v>4</v>
      </c>
      <c r="B10" s="15" t="s">
        <v>41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8"/>
      <c r="P10" s="18"/>
      <c r="Q10" s="18"/>
    </row>
    <row r="11" spans="1:19" x14ac:dyDescent="0.3">
      <c r="A11" s="15"/>
      <c r="B11" s="15" t="s">
        <v>42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8"/>
      <c r="P11" s="18"/>
      <c r="Q11" s="18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5B163-4D58-4244-92AA-FD51A819BFEF}">
  <dimension ref="A1:S11"/>
  <sheetViews>
    <sheetView workbookViewId="0">
      <selection activeCell="C4" sqref="C4:L12"/>
    </sheetView>
  </sheetViews>
  <sheetFormatPr defaultRowHeight="14.4" x14ac:dyDescent="0.3"/>
  <sheetData>
    <row r="1" spans="1:19" x14ac:dyDescent="0.3">
      <c r="A1" t="s">
        <v>33</v>
      </c>
      <c r="C1">
        <v>8.75</v>
      </c>
    </row>
    <row r="3" spans="1:19" x14ac:dyDescent="0.3">
      <c r="A3" s="15" t="s">
        <v>34</v>
      </c>
      <c r="B3" s="15" t="s">
        <v>35</v>
      </c>
      <c r="C3" s="16" t="s">
        <v>90</v>
      </c>
      <c r="D3" s="16" t="s">
        <v>91</v>
      </c>
      <c r="E3" s="16" t="s">
        <v>92</v>
      </c>
      <c r="F3" s="16" t="s">
        <v>93</v>
      </c>
      <c r="G3" s="16" t="s">
        <v>94</v>
      </c>
      <c r="H3" s="16" t="s">
        <v>95</v>
      </c>
      <c r="I3" s="16" t="s">
        <v>96</v>
      </c>
      <c r="J3" s="16" t="s">
        <v>97</v>
      </c>
      <c r="K3" s="16" t="s">
        <v>98</v>
      </c>
      <c r="L3" s="16" t="s">
        <v>99</v>
      </c>
      <c r="M3" s="16" t="s">
        <v>100</v>
      </c>
      <c r="N3" s="16" t="s">
        <v>101</v>
      </c>
      <c r="O3" s="16" t="s">
        <v>102</v>
      </c>
      <c r="P3" s="16" t="s">
        <v>103</v>
      </c>
      <c r="Q3" s="16" t="s">
        <v>104</v>
      </c>
    </row>
    <row r="4" spans="1:19" x14ac:dyDescent="0.3">
      <c r="A4" s="15">
        <v>1</v>
      </c>
      <c r="B4" s="15" t="s">
        <v>43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S4" t="str">
        <f>IF(B4="Q","SoilCurves"&amp;A4&amp;".addManualQZ("&amp;$C$1&amp;",Array("&amp;_xlfn.TEXTJOIN(",",TRUE,C5:Q5)&amp;"),Array("&amp;_xlfn.TEXTJOIN(",",TRUE,C4:Q4)&amp;"));","")</f>
        <v>SoilCurves1.addManualQZ(8.75,Array(),Array());</v>
      </c>
    </row>
    <row r="5" spans="1:19" x14ac:dyDescent="0.3">
      <c r="A5" s="15"/>
      <c r="B5" s="15" t="s">
        <v>42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6"/>
      <c r="P5" s="16"/>
      <c r="Q5" s="16"/>
    </row>
    <row r="6" spans="1:19" x14ac:dyDescent="0.3">
      <c r="A6" s="15">
        <v>2</v>
      </c>
      <c r="B6" s="15" t="s">
        <v>43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</row>
    <row r="7" spans="1:19" x14ac:dyDescent="0.3">
      <c r="A7" s="15"/>
      <c r="B7" s="15" t="s">
        <v>42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8"/>
      <c r="P7" s="18"/>
      <c r="Q7" s="18"/>
    </row>
    <row r="8" spans="1:19" x14ac:dyDescent="0.3">
      <c r="A8" s="15">
        <v>3</v>
      </c>
      <c r="B8" s="15" t="s">
        <v>43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8"/>
      <c r="P8" s="18"/>
      <c r="Q8" s="18"/>
    </row>
    <row r="9" spans="1:19" x14ac:dyDescent="0.3">
      <c r="A9" s="15"/>
      <c r="B9" s="15" t="s">
        <v>42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8"/>
      <c r="P9" s="18"/>
      <c r="Q9" s="18"/>
    </row>
    <row r="10" spans="1:19" x14ac:dyDescent="0.3">
      <c r="A10" s="15">
        <v>4</v>
      </c>
      <c r="B10" s="15" t="s">
        <v>43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8"/>
      <c r="P10" s="18"/>
      <c r="Q10" s="18"/>
    </row>
    <row r="11" spans="1:19" x14ac:dyDescent="0.3">
      <c r="A11" s="15"/>
      <c r="B11" s="15" t="s">
        <v>42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8"/>
      <c r="P11" s="18"/>
      <c r="Q11" s="18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2440F-428A-4AFF-8E25-46D87CB58C83}">
  <dimension ref="A1:S83"/>
  <sheetViews>
    <sheetView topLeftCell="B40" workbookViewId="0">
      <selection activeCell="Q60" sqref="Q60"/>
    </sheetView>
  </sheetViews>
  <sheetFormatPr defaultRowHeight="14.4" x14ac:dyDescent="0.3"/>
  <cols>
    <col min="1" max="1" width="12.21875" bestFit="1" customWidth="1"/>
    <col min="19" max="19" width="8.88671875" style="25"/>
  </cols>
  <sheetData>
    <row r="1" spans="1:19" x14ac:dyDescent="0.3">
      <c r="A1" t="s">
        <v>33</v>
      </c>
      <c r="C1">
        <v>8.75</v>
      </c>
      <c r="D1" t="s">
        <v>105</v>
      </c>
      <c r="G1" t="s">
        <v>106</v>
      </c>
      <c r="H1" t="s">
        <v>107</v>
      </c>
    </row>
    <row r="3" spans="1:19" x14ac:dyDescent="0.3">
      <c r="A3" s="15" t="s">
        <v>34</v>
      </c>
      <c r="B3" s="15" t="s">
        <v>35</v>
      </c>
      <c r="C3" s="16" t="s">
        <v>90</v>
      </c>
      <c r="D3" s="16" t="s">
        <v>91</v>
      </c>
      <c r="E3" s="16" t="s">
        <v>92</v>
      </c>
      <c r="F3" s="16" t="s">
        <v>93</v>
      </c>
      <c r="G3" s="16" t="s">
        <v>94</v>
      </c>
      <c r="H3" s="16" t="s">
        <v>95</v>
      </c>
      <c r="I3" s="16" t="s">
        <v>96</v>
      </c>
      <c r="J3" s="16" t="s">
        <v>97</v>
      </c>
      <c r="K3" s="16" t="s">
        <v>98</v>
      </c>
      <c r="L3" s="16" t="s">
        <v>99</v>
      </c>
      <c r="M3" s="16" t="s">
        <v>100</v>
      </c>
      <c r="N3" s="16" t="s">
        <v>101</v>
      </c>
      <c r="O3" s="16" t="s">
        <v>102</v>
      </c>
      <c r="P3" s="16" t="s">
        <v>103</v>
      </c>
      <c r="Q3" s="16" t="s">
        <v>104</v>
      </c>
    </row>
    <row r="4" spans="1:19" x14ac:dyDescent="0.3">
      <c r="A4" s="15">
        <v>1</v>
      </c>
      <c r="B4" s="15" t="s">
        <v>44</v>
      </c>
      <c r="C4" s="24">
        <v>0</v>
      </c>
      <c r="D4" s="24">
        <v>14300</v>
      </c>
      <c r="E4" s="24">
        <v>18100</v>
      </c>
      <c r="F4" s="24">
        <v>21300</v>
      </c>
      <c r="G4" s="24">
        <v>23700</v>
      </c>
      <c r="H4" s="24">
        <v>25300</v>
      </c>
      <c r="I4" s="24">
        <v>26200</v>
      </c>
      <c r="J4" s="24">
        <v>26700</v>
      </c>
      <c r="K4" s="24">
        <v>26900</v>
      </c>
      <c r="L4" s="24">
        <v>27000</v>
      </c>
      <c r="M4" s="16"/>
      <c r="N4" s="16"/>
      <c r="O4" s="16"/>
      <c r="P4" s="16"/>
      <c r="Q4" s="16"/>
      <c r="S4" s="25" t="str">
        <f>IF(B4="P","SoilCurves"&amp;A4&amp;".addManualPY("&amp;$C$1&amp;",Array("&amp;_xlfn.TEXTJOIN(",",TRUE,C5:Q5)&amp;"),Array("&amp;_xlfn.TEXTJOIN(",",TRUE,C4:Q4)&amp;"));","")</f>
        <v>SoilCurves1.addManualPY(8.75,Array(0,0.039,0.0779,0.156,0.312,0.623,1.25,2.49,4.99,9.97),Array(0,14300,18100,21300,23700,25300,26200,26700,26900,27000));</v>
      </c>
    </row>
    <row r="5" spans="1:19" x14ac:dyDescent="0.3">
      <c r="A5" s="15"/>
      <c r="B5" s="15" t="s">
        <v>39</v>
      </c>
      <c r="C5" s="24">
        <v>0</v>
      </c>
      <c r="D5" s="24">
        <v>3.9E-2</v>
      </c>
      <c r="E5" s="24">
        <v>7.7899999999999997E-2</v>
      </c>
      <c r="F5" s="24">
        <v>0.156</v>
      </c>
      <c r="G5" s="24">
        <v>0.312</v>
      </c>
      <c r="H5" s="24">
        <v>0.623</v>
      </c>
      <c r="I5" s="24">
        <v>1.25</v>
      </c>
      <c r="J5" s="24">
        <v>2.4900000000000002</v>
      </c>
      <c r="K5" s="24">
        <v>4.99</v>
      </c>
      <c r="L5" s="24">
        <v>9.9700000000000006</v>
      </c>
      <c r="M5" s="17"/>
      <c r="N5" s="17"/>
      <c r="O5" s="16"/>
      <c r="P5" s="16"/>
      <c r="Q5" s="16"/>
      <c r="S5" s="25" t="str">
        <f t="shared" ref="S5:S68" si="0">IF(B5="P","SoilCurves"&amp;A5&amp;".addManualPY("&amp;$C$1&amp;",Array("&amp;_xlfn.TEXTJOIN(",",TRUE,C6:Q6)&amp;"),Array("&amp;_xlfn.TEXTJOIN(",",TRUE,C5:Q5)&amp;"));","")</f>
        <v/>
      </c>
    </row>
    <row r="6" spans="1:19" x14ac:dyDescent="0.3">
      <c r="A6" s="15">
        <v>2</v>
      </c>
      <c r="B6" s="15" t="s">
        <v>44</v>
      </c>
      <c r="C6" s="24">
        <v>0</v>
      </c>
      <c r="D6" s="24">
        <v>20000</v>
      </c>
      <c r="E6" s="24">
        <v>25500</v>
      </c>
      <c r="F6" s="24">
        <v>30300</v>
      </c>
      <c r="G6" s="24">
        <v>34000</v>
      </c>
      <c r="H6" s="24">
        <v>36400</v>
      </c>
      <c r="I6" s="24">
        <v>37800</v>
      </c>
      <c r="J6" s="24">
        <v>38500</v>
      </c>
      <c r="K6" s="24">
        <v>38900</v>
      </c>
      <c r="L6" s="24">
        <v>39000</v>
      </c>
      <c r="M6" s="16"/>
      <c r="N6" s="16"/>
      <c r="O6" s="16"/>
      <c r="P6" s="16"/>
      <c r="Q6" s="16"/>
      <c r="S6" s="25" t="str">
        <f t="shared" si="0"/>
        <v>SoilCurves2.addManualPY(8.75,Array(0,0.0174,0.0348,0.0696,0.139,0.279,0.557,1.11,2.23,4.46),Array(0,20000,25500,30300,34000,36400,37800,38500,38900,39000));</v>
      </c>
    </row>
    <row r="7" spans="1:19" x14ac:dyDescent="0.3">
      <c r="A7" s="15"/>
      <c r="B7" s="15" t="s">
        <v>39</v>
      </c>
      <c r="C7" s="24">
        <v>0</v>
      </c>
      <c r="D7" s="24">
        <v>1.7399999999999999E-2</v>
      </c>
      <c r="E7" s="24">
        <v>3.4799999999999998E-2</v>
      </c>
      <c r="F7" s="24">
        <v>6.9599999999999995E-2</v>
      </c>
      <c r="G7" s="24">
        <v>0.13900000000000001</v>
      </c>
      <c r="H7" s="24">
        <v>0.27900000000000003</v>
      </c>
      <c r="I7" s="24">
        <v>0.55700000000000005</v>
      </c>
      <c r="J7" s="24">
        <v>1.1100000000000001</v>
      </c>
      <c r="K7" s="24">
        <v>2.23</v>
      </c>
      <c r="L7" s="24">
        <v>4.46</v>
      </c>
      <c r="M7" s="17"/>
      <c r="N7" s="17"/>
      <c r="O7" s="18"/>
      <c r="P7" s="18"/>
      <c r="Q7" s="18"/>
      <c r="S7" s="25" t="str">
        <f t="shared" si="0"/>
        <v/>
      </c>
    </row>
    <row r="8" spans="1:19" x14ac:dyDescent="0.3">
      <c r="A8" s="15">
        <v>3</v>
      </c>
      <c r="B8" s="15" t="s">
        <v>44</v>
      </c>
      <c r="C8" s="24">
        <v>0</v>
      </c>
      <c r="D8" s="24">
        <v>25900</v>
      </c>
      <c r="E8" s="24">
        <v>33300</v>
      </c>
      <c r="F8" s="24">
        <v>39900</v>
      </c>
      <c r="G8" s="24">
        <v>45000</v>
      </c>
      <c r="H8" s="24">
        <v>48400</v>
      </c>
      <c r="I8" s="24">
        <v>50400</v>
      </c>
      <c r="J8" s="24">
        <v>51400</v>
      </c>
      <c r="K8" s="24">
        <v>51900</v>
      </c>
      <c r="L8" s="24">
        <v>52100</v>
      </c>
      <c r="M8" s="16"/>
      <c r="N8" s="16"/>
      <c r="O8" s="18"/>
      <c r="P8" s="18"/>
      <c r="Q8" s="18"/>
      <c r="S8" s="25" t="str">
        <f t="shared" si="0"/>
        <v>SoilCurves3.addManualPY(8.75,Array(0,0.0131,0.0262,0.0524,0.105,0.21,0.419,0.839,1.68,3.35),Array(0,25900,33300,39900,45000,48400,50400,51400,51900,52100));</v>
      </c>
    </row>
    <row r="9" spans="1:19" x14ac:dyDescent="0.3">
      <c r="A9" s="15"/>
      <c r="B9" s="15" t="s">
        <v>39</v>
      </c>
      <c r="C9" s="24">
        <v>0</v>
      </c>
      <c r="D9" s="24">
        <v>1.3100000000000001E-2</v>
      </c>
      <c r="E9" s="24">
        <v>2.6200000000000001E-2</v>
      </c>
      <c r="F9" s="24">
        <v>5.2400000000000002E-2</v>
      </c>
      <c r="G9" s="24">
        <v>0.105</v>
      </c>
      <c r="H9" s="24">
        <v>0.21</v>
      </c>
      <c r="I9" s="24">
        <v>0.41899999999999998</v>
      </c>
      <c r="J9" s="24">
        <v>0.83899999999999997</v>
      </c>
      <c r="K9" s="24">
        <v>1.68</v>
      </c>
      <c r="L9" s="24">
        <v>3.35</v>
      </c>
      <c r="M9" s="17"/>
      <c r="N9" s="17"/>
      <c r="O9" s="18"/>
      <c r="P9" s="18"/>
      <c r="Q9" s="18"/>
      <c r="S9" s="25" t="str">
        <f t="shared" si="0"/>
        <v/>
      </c>
    </row>
    <row r="10" spans="1:19" x14ac:dyDescent="0.3">
      <c r="A10" s="15">
        <v>4</v>
      </c>
      <c r="B10" s="15" t="s">
        <v>44</v>
      </c>
      <c r="C10" s="24">
        <v>0</v>
      </c>
      <c r="D10" s="24">
        <v>32000</v>
      </c>
      <c r="E10" s="24">
        <v>41500</v>
      </c>
      <c r="F10" s="24">
        <v>50000</v>
      </c>
      <c r="G10" s="24">
        <v>56700</v>
      </c>
      <c r="H10" s="24">
        <v>61200</v>
      </c>
      <c r="I10" s="24">
        <v>63900</v>
      </c>
      <c r="J10" s="24">
        <v>65300</v>
      </c>
      <c r="K10" s="24">
        <v>66000</v>
      </c>
      <c r="L10" s="24">
        <v>66200</v>
      </c>
      <c r="M10" s="16"/>
      <c r="N10" s="16"/>
      <c r="O10" s="18"/>
      <c r="P10" s="18"/>
      <c r="Q10" s="18"/>
      <c r="S10" s="25" t="str">
        <f t="shared" si="0"/>
        <v>SoilCurves4.addManualPY(8.75,Array(0,0.0113,0.0225,0.045,0.0901,0.18,0.36,0.721,1.44,2.88),Array(0,32000,41500,50000,56700,61200,63900,65300,66000,66200));</v>
      </c>
    </row>
    <row r="11" spans="1:19" x14ac:dyDescent="0.3">
      <c r="A11" s="15"/>
      <c r="B11" s="15" t="s">
        <v>39</v>
      </c>
      <c r="C11" s="24">
        <v>0</v>
      </c>
      <c r="D11" s="24">
        <v>1.1299999999999999E-2</v>
      </c>
      <c r="E11" s="24">
        <v>2.2499999999999999E-2</v>
      </c>
      <c r="F11" s="24">
        <v>4.4999999999999998E-2</v>
      </c>
      <c r="G11" s="24">
        <v>9.01E-2</v>
      </c>
      <c r="H11" s="24">
        <v>0.18</v>
      </c>
      <c r="I11" s="24">
        <v>0.36</v>
      </c>
      <c r="J11" s="24">
        <v>0.72099999999999997</v>
      </c>
      <c r="K11" s="24">
        <v>1.44</v>
      </c>
      <c r="L11" s="24">
        <v>2.88</v>
      </c>
      <c r="M11" s="17"/>
      <c r="N11" s="17"/>
      <c r="O11" s="18"/>
      <c r="P11" s="18"/>
      <c r="Q11" s="18"/>
      <c r="S11" s="25" t="str">
        <f t="shared" si="0"/>
        <v/>
      </c>
    </row>
    <row r="12" spans="1:19" x14ac:dyDescent="0.3">
      <c r="A12" s="15">
        <v>5</v>
      </c>
      <c r="B12" s="15" t="s">
        <v>44</v>
      </c>
      <c r="C12" s="25">
        <v>0</v>
      </c>
      <c r="D12" s="25">
        <v>38300</v>
      </c>
      <c r="E12" s="25">
        <v>49900</v>
      </c>
      <c r="F12" s="25">
        <v>60600</v>
      </c>
      <c r="G12" s="25">
        <v>69000</v>
      </c>
      <c r="H12" s="25">
        <v>74700</v>
      </c>
      <c r="I12" s="25">
        <v>78200</v>
      </c>
      <c r="J12" s="25">
        <v>80100</v>
      </c>
      <c r="K12" s="25">
        <v>81000</v>
      </c>
      <c r="L12" s="25">
        <v>81200</v>
      </c>
      <c r="S12" s="25" t="str">
        <f t="shared" si="0"/>
        <v>SoilCurves5.addManualPY(8.75,Array(0,0.0102,0.0205,0.0409,0.0819,0.164,0.327,0.655,1.31,2.62),Array(0,38300,49900,60600,69000,74700,78200,80100,81000,81200));</v>
      </c>
    </row>
    <row r="13" spans="1:19" x14ac:dyDescent="0.3">
      <c r="A13" s="15"/>
      <c r="B13" s="15" t="s">
        <v>39</v>
      </c>
      <c r="C13" s="25">
        <v>0</v>
      </c>
      <c r="D13" s="25">
        <v>1.0200000000000001E-2</v>
      </c>
      <c r="E13" s="25">
        <v>2.0500000000000001E-2</v>
      </c>
      <c r="F13" s="25">
        <v>4.0899999999999999E-2</v>
      </c>
      <c r="G13" s="25">
        <v>8.1900000000000001E-2</v>
      </c>
      <c r="H13" s="25">
        <v>0.16400000000000001</v>
      </c>
      <c r="I13" s="25">
        <v>0.32700000000000001</v>
      </c>
      <c r="J13" s="25">
        <v>0.65500000000000003</v>
      </c>
      <c r="K13" s="25">
        <v>1.31</v>
      </c>
      <c r="L13" s="25">
        <v>2.62</v>
      </c>
      <c r="S13" s="25" t="str">
        <f t="shared" si="0"/>
        <v/>
      </c>
    </row>
    <row r="14" spans="1:19" x14ac:dyDescent="0.3">
      <c r="A14" s="15">
        <v>6</v>
      </c>
      <c r="B14" s="15" t="s">
        <v>44</v>
      </c>
      <c r="C14" s="25">
        <v>0</v>
      </c>
      <c r="D14" s="25">
        <v>44600</v>
      </c>
      <c r="E14" s="25">
        <v>58500</v>
      </c>
      <c r="F14" s="25">
        <v>71400</v>
      </c>
      <c r="G14" s="25">
        <v>81700</v>
      </c>
      <c r="H14" s="25">
        <v>88800</v>
      </c>
      <c r="I14" s="25">
        <v>93100</v>
      </c>
      <c r="J14" s="25">
        <v>95500</v>
      </c>
      <c r="K14" s="25">
        <v>96600</v>
      </c>
      <c r="L14" s="25">
        <v>97000</v>
      </c>
      <c r="S14" s="25" t="str">
        <f t="shared" si="0"/>
        <v>SoilCurves6.addManualPY(8.75,Array(0,0.00958,0.0192,0.0383,0.0766,0.153,0.307,0.613,1.23,2.45),Array(0,44600,58500,71400,81700,88800,93100,95500,96600,97000));</v>
      </c>
    </row>
    <row r="15" spans="1:19" x14ac:dyDescent="0.3">
      <c r="A15" s="15"/>
      <c r="B15" s="15" t="s">
        <v>39</v>
      </c>
      <c r="C15" s="25">
        <v>0</v>
      </c>
      <c r="D15" s="25">
        <v>9.58E-3</v>
      </c>
      <c r="E15" s="25">
        <v>1.9199999999999998E-2</v>
      </c>
      <c r="F15" s="25">
        <v>3.8300000000000001E-2</v>
      </c>
      <c r="G15" s="25">
        <v>7.6600000000000001E-2</v>
      </c>
      <c r="H15" s="25">
        <v>0.153</v>
      </c>
      <c r="I15" s="25">
        <v>0.307</v>
      </c>
      <c r="J15" s="25">
        <v>0.61299999999999999</v>
      </c>
      <c r="K15" s="25">
        <v>1.23</v>
      </c>
      <c r="L15" s="25">
        <v>2.4500000000000002</v>
      </c>
      <c r="S15" s="25" t="str">
        <f t="shared" si="0"/>
        <v/>
      </c>
    </row>
    <row r="16" spans="1:19" x14ac:dyDescent="0.3">
      <c r="A16" s="15">
        <v>7</v>
      </c>
      <c r="B16" s="15" t="s">
        <v>44</v>
      </c>
      <c r="C16" s="25">
        <v>0</v>
      </c>
      <c r="D16" s="25">
        <v>51000</v>
      </c>
      <c r="E16" s="25">
        <v>67200</v>
      </c>
      <c r="F16" s="25">
        <v>82500</v>
      </c>
      <c r="G16" s="25">
        <v>94800</v>
      </c>
      <c r="H16" s="25">
        <v>103000</v>
      </c>
      <c r="I16" s="25">
        <v>109000</v>
      </c>
      <c r="J16" s="25">
        <v>112000</v>
      </c>
      <c r="K16" s="25">
        <v>113000</v>
      </c>
      <c r="L16" s="25">
        <v>113000</v>
      </c>
      <c r="S16" s="25" t="str">
        <f t="shared" si="0"/>
        <v>SoilCurves7.addManualPY(8.75,Array(0,0.00913,0.0183,0.0365,0.073,0.146,0.292,0.584,1.17,2.34),Array(0,51000,67200,82500,94800,103000,109000,112000,113000,113000));</v>
      </c>
    </row>
    <row r="17" spans="1:19" x14ac:dyDescent="0.3">
      <c r="A17" s="15"/>
      <c r="B17" s="15" t="s">
        <v>39</v>
      </c>
      <c r="C17" s="25">
        <v>0</v>
      </c>
      <c r="D17" s="25">
        <v>9.1299999999999992E-3</v>
      </c>
      <c r="E17" s="25">
        <v>1.83E-2</v>
      </c>
      <c r="F17" s="25">
        <v>3.6499999999999998E-2</v>
      </c>
      <c r="G17" s="25">
        <v>7.2999999999999995E-2</v>
      </c>
      <c r="H17" s="25">
        <v>0.14599999999999999</v>
      </c>
      <c r="I17" s="25">
        <v>0.29199999999999998</v>
      </c>
      <c r="J17" s="25">
        <v>0.58399999999999996</v>
      </c>
      <c r="K17" s="25">
        <v>1.17</v>
      </c>
      <c r="L17" s="25">
        <v>2.34</v>
      </c>
      <c r="S17" s="25" t="str">
        <f t="shared" si="0"/>
        <v/>
      </c>
    </row>
    <row r="18" spans="1:19" x14ac:dyDescent="0.3">
      <c r="A18" s="15">
        <v>8</v>
      </c>
      <c r="B18" s="15" t="s">
        <v>44</v>
      </c>
      <c r="C18" s="25">
        <v>0</v>
      </c>
      <c r="D18" s="25">
        <v>57400</v>
      </c>
      <c r="E18" s="25">
        <v>76100</v>
      </c>
      <c r="F18" s="25">
        <v>93800</v>
      </c>
      <c r="G18" s="25">
        <v>108000</v>
      </c>
      <c r="H18" s="25">
        <v>118000</v>
      </c>
      <c r="I18" s="25">
        <v>125000</v>
      </c>
      <c r="J18" s="25">
        <v>128000</v>
      </c>
      <c r="K18" s="25">
        <v>130000</v>
      </c>
      <c r="L18" s="25">
        <v>130000</v>
      </c>
      <c r="S18" s="25" t="str">
        <f t="shared" si="0"/>
        <v>SoilCurves8.addManualPY(8.75,Array(0,0.0088,0.0176,0.0352,0.0704,0.141,0.282,0.563,1.13,2.25),Array(0,57400,76100,93800,108000,118000,125000,128000,130000,130000));</v>
      </c>
    </row>
    <row r="19" spans="1:19" x14ac:dyDescent="0.3">
      <c r="A19" s="15"/>
      <c r="B19" s="15" t="s">
        <v>39</v>
      </c>
      <c r="C19" s="25">
        <v>0</v>
      </c>
      <c r="D19" s="25">
        <v>8.8000000000000005E-3</v>
      </c>
      <c r="E19" s="25">
        <v>1.7600000000000001E-2</v>
      </c>
      <c r="F19" s="25">
        <v>3.5200000000000002E-2</v>
      </c>
      <c r="G19" s="25">
        <v>7.0400000000000004E-2</v>
      </c>
      <c r="H19" s="25">
        <v>0.14099999999999999</v>
      </c>
      <c r="I19" s="25">
        <v>0.28199999999999997</v>
      </c>
      <c r="J19" s="25">
        <v>0.56299999999999994</v>
      </c>
      <c r="K19" s="25">
        <v>1.1299999999999999</v>
      </c>
      <c r="L19" s="25">
        <v>2.25</v>
      </c>
      <c r="S19" s="25" t="str">
        <f t="shared" si="0"/>
        <v/>
      </c>
    </row>
    <row r="20" spans="1:19" x14ac:dyDescent="0.3">
      <c r="A20" s="15">
        <v>9</v>
      </c>
      <c r="B20" s="15" t="s">
        <v>44</v>
      </c>
      <c r="C20" s="25">
        <v>0</v>
      </c>
      <c r="D20" s="25">
        <v>63800</v>
      </c>
      <c r="E20" s="25">
        <v>85000</v>
      </c>
      <c r="F20" s="25">
        <v>105000</v>
      </c>
      <c r="G20" s="25">
        <v>122000</v>
      </c>
      <c r="H20" s="25">
        <v>134000</v>
      </c>
      <c r="I20" s="25">
        <v>141000</v>
      </c>
      <c r="J20" s="25">
        <v>145000</v>
      </c>
      <c r="K20" s="25">
        <v>147000</v>
      </c>
      <c r="L20" s="25">
        <v>148000</v>
      </c>
      <c r="S20" s="25" t="str">
        <f t="shared" si="0"/>
        <v>SoilCurves9.addManualPY(8.75,Array(0,0.00854,0.0171,0.0342,0.0683,0.137,0.273,0.547,1.09,2.19),Array(0,63800,85000,105000,122000,134000,141000,145000,147000,148000));</v>
      </c>
    </row>
    <row r="21" spans="1:19" x14ac:dyDescent="0.3">
      <c r="A21" s="15"/>
      <c r="B21" s="15" t="s">
        <v>39</v>
      </c>
      <c r="C21" s="25">
        <v>0</v>
      </c>
      <c r="D21" s="25">
        <v>8.5400000000000007E-3</v>
      </c>
      <c r="E21" s="25">
        <v>1.7100000000000001E-2</v>
      </c>
      <c r="F21" s="25">
        <v>3.4200000000000001E-2</v>
      </c>
      <c r="G21" s="25">
        <v>6.83E-2</v>
      </c>
      <c r="H21" s="25">
        <v>0.13700000000000001</v>
      </c>
      <c r="I21" s="25">
        <v>0.27300000000000002</v>
      </c>
      <c r="J21" s="25">
        <v>0.54700000000000004</v>
      </c>
      <c r="K21" s="25">
        <v>1.0900000000000001</v>
      </c>
      <c r="L21" s="25">
        <v>2.19</v>
      </c>
      <c r="S21" s="25" t="str">
        <f t="shared" si="0"/>
        <v/>
      </c>
    </row>
    <row r="22" spans="1:19" x14ac:dyDescent="0.3">
      <c r="A22" s="15">
        <v>10</v>
      </c>
      <c r="B22" s="15" t="s">
        <v>44</v>
      </c>
      <c r="C22" s="25">
        <v>0</v>
      </c>
      <c r="D22" s="25">
        <v>70200</v>
      </c>
      <c r="E22" s="25">
        <v>93900</v>
      </c>
      <c r="F22" s="25">
        <v>117000</v>
      </c>
      <c r="G22" s="25">
        <v>136000</v>
      </c>
      <c r="H22" s="25">
        <v>149000</v>
      </c>
      <c r="I22" s="25">
        <v>158000</v>
      </c>
      <c r="J22" s="25">
        <v>163000</v>
      </c>
      <c r="K22" s="25">
        <v>165000</v>
      </c>
      <c r="L22" s="25">
        <v>166000</v>
      </c>
      <c r="S22" s="25" t="str">
        <f t="shared" si="0"/>
        <v>SoilCurves10.addManualPY(8.75,Array(0,0.00834,0.0167,0.0334,0.0667,0.133,0.267,0.534,1.07,2.14),Array(0,70200,93900,117000,136000,149000,158000,163000,165000,166000));</v>
      </c>
    </row>
    <row r="23" spans="1:19" x14ac:dyDescent="0.3">
      <c r="A23" s="15"/>
      <c r="B23" s="15" t="s">
        <v>39</v>
      </c>
      <c r="C23" s="25">
        <v>0</v>
      </c>
      <c r="D23" s="25">
        <v>8.3400000000000002E-3</v>
      </c>
      <c r="E23" s="25">
        <v>1.67E-2</v>
      </c>
      <c r="F23" s="25">
        <v>3.3399999999999999E-2</v>
      </c>
      <c r="G23" s="25">
        <v>6.6699999999999995E-2</v>
      </c>
      <c r="H23" s="25">
        <v>0.13300000000000001</v>
      </c>
      <c r="I23" s="25">
        <v>0.26700000000000002</v>
      </c>
      <c r="J23" s="25">
        <v>0.53400000000000003</v>
      </c>
      <c r="K23" s="25">
        <v>1.07</v>
      </c>
      <c r="L23" s="25">
        <v>2.14</v>
      </c>
      <c r="S23" s="25" t="str">
        <f t="shared" si="0"/>
        <v/>
      </c>
    </row>
    <row r="24" spans="1:19" x14ac:dyDescent="0.3">
      <c r="A24" s="15">
        <v>11</v>
      </c>
      <c r="B24" s="15" t="s">
        <v>44</v>
      </c>
      <c r="C24" s="25">
        <v>0</v>
      </c>
      <c r="D24" s="25">
        <v>76500</v>
      </c>
      <c r="E24" s="25">
        <v>103000</v>
      </c>
      <c r="F24" s="25">
        <v>128000</v>
      </c>
      <c r="G24" s="25">
        <v>150000</v>
      </c>
      <c r="H24" s="25">
        <v>165000</v>
      </c>
      <c r="I24" s="25">
        <v>175000</v>
      </c>
      <c r="J24" s="25">
        <v>180000</v>
      </c>
      <c r="K24" s="25">
        <v>183000</v>
      </c>
      <c r="L24" s="25">
        <v>184000</v>
      </c>
      <c r="S24" s="25" t="str">
        <f t="shared" si="0"/>
        <v>SoilCurves11.addManualPY(8.75,Array(0,0.00818,0.0164,0.0327,0.0655,0.131,0.262,0.524,1.05,2.09),Array(0,76500,103000,128000,150000,165000,175000,180000,183000,184000));</v>
      </c>
    </row>
    <row r="25" spans="1:19" x14ac:dyDescent="0.3">
      <c r="A25" s="15"/>
      <c r="B25" s="15" t="s">
        <v>39</v>
      </c>
      <c r="C25" s="25">
        <v>0</v>
      </c>
      <c r="D25" s="25">
        <v>8.1799999999999998E-3</v>
      </c>
      <c r="E25" s="25">
        <v>1.6400000000000001E-2</v>
      </c>
      <c r="F25" s="25">
        <v>3.27E-2</v>
      </c>
      <c r="G25" s="25">
        <v>6.5500000000000003E-2</v>
      </c>
      <c r="H25" s="25">
        <v>0.13100000000000001</v>
      </c>
      <c r="I25" s="25">
        <v>0.26200000000000001</v>
      </c>
      <c r="J25" s="25">
        <v>0.52400000000000002</v>
      </c>
      <c r="K25" s="25">
        <v>1.05</v>
      </c>
      <c r="L25" s="25">
        <v>2.09</v>
      </c>
      <c r="S25" s="25" t="str">
        <f t="shared" si="0"/>
        <v/>
      </c>
    </row>
    <row r="26" spans="1:19" x14ac:dyDescent="0.3">
      <c r="A26" s="15">
        <v>12</v>
      </c>
      <c r="B26" s="15" t="s">
        <v>44</v>
      </c>
      <c r="C26" s="25">
        <v>0</v>
      </c>
      <c r="D26" s="25">
        <v>82800</v>
      </c>
      <c r="E26" s="25">
        <v>112000</v>
      </c>
      <c r="F26" s="25">
        <v>140000</v>
      </c>
      <c r="G26" s="25">
        <v>164000</v>
      </c>
      <c r="H26" s="25">
        <v>181000</v>
      </c>
      <c r="I26" s="25">
        <v>192000</v>
      </c>
      <c r="J26" s="25">
        <v>198000</v>
      </c>
      <c r="K26" s="25">
        <v>201000</v>
      </c>
      <c r="L26" s="25">
        <v>202000</v>
      </c>
      <c r="S26" s="25" t="str">
        <f t="shared" si="0"/>
        <v>SoilCurves12.addManualPY(8.75,Array(0,0.00805,0.0161,0.0322,0.0644,0.129,0.258,0.515,1.03,2.06),Array(0,82800,112000,140000,164000,181000,192000,198000,201000,202000));</v>
      </c>
    </row>
    <row r="27" spans="1:19" x14ac:dyDescent="0.3">
      <c r="A27" s="15"/>
      <c r="B27" s="15" t="s">
        <v>39</v>
      </c>
      <c r="C27" s="25">
        <v>0</v>
      </c>
      <c r="D27" s="25">
        <v>8.0499999999999999E-3</v>
      </c>
      <c r="E27" s="25">
        <v>1.61E-2</v>
      </c>
      <c r="F27" s="25">
        <v>3.2199999999999999E-2</v>
      </c>
      <c r="G27" s="25">
        <v>6.4399999999999999E-2</v>
      </c>
      <c r="H27" s="25">
        <v>0.129</v>
      </c>
      <c r="I27" s="25">
        <v>0.25800000000000001</v>
      </c>
      <c r="J27" s="25">
        <v>0.51500000000000001</v>
      </c>
      <c r="K27" s="25">
        <v>1.03</v>
      </c>
      <c r="L27" s="25">
        <v>2.06</v>
      </c>
      <c r="S27" s="25" t="str">
        <f t="shared" si="0"/>
        <v/>
      </c>
    </row>
    <row r="28" spans="1:19" x14ac:dyDescent="0.3">
      <c r="A28" s="15">
        <v>13</v>
      </c>
      <c r="B28" s="15" t="s">
        <v>44</v>
      </c>
      <c r="C28" s="25">
        <v>0</v>
      </c>
      <c r="D28" s="25">
        <v>89000</v>
      </c>
      <c r="E28" s="25">
        <v>120000</v>
      </c>
      <c r="F28" s="25">
        <v>152000</v>
      </c>
      <c r="G28" s="25">
        <v>178000</v>
      </c>
      <c r="H28" s="25">
        <v>197000</v>
      </c>
      <c r="I28" s="25">
        <v>210000</v>
      </c>
      <c r="J28" s="25">
        <v>217000</v>
      </c>
      <c r="K28" s="25">
        <v>220000</v>
      </c>
      <c r="L28" s="25">
        <v>221000</v>
      </c>
      <c r="S28" s="25" t="str">
        <f t="shared" si="0"/>
        <v>SoilCurves13.addManualPY(8.75,Array(0,0.00794,0.0159,0.0317,0.0635,0.127,0.254,0.508,1.02,2.03),Array(0,89000,120000,152000,178000,197000,210000,217000,220000,221000));</v>
      </c>
    </row>
    <row r="29" spans="1:19" x14ac:dyDescent="0.3">
      <c r="A29" s="15"/>
      <c r="B29" s="15" t="s">
        <v>39</v>
      </c>
      <c r="C29" s="25">
        <v>0</v>
      </c>
      <c r="D29" s="25">
        <v>7.9399999999999991E-3</v>
      </c>
      <c r="E29" s="25">
        <v>1.5900000000000001E-2</v>
      </c>
      <c r="F29" s="25">
        <v>3.1699999999999999E-2</v>
      </c>
      <c r="G29" s="25">
        <v>6.3500000000000001E-2</v>
      </c>
      <c r="H29" s="25">
        <v>0.127</v>
      </c>
      <c r="I29" s="25">
        <v>0.254</v>
      </c>
      <c r="J29" s="25">
        <v>0.50800000000000001</v>
      </c>
      <c r="K29" s="25">
        <v>1.02</v>
      </c>
      <c r="L29" s="25">
        <v>2.0299999999999998</v>
      </c>
      <c r="S29" s="25" t="str">
        <f t="shared" si="0"/>
        <v/>
      </c>
    </row>
    <row r="30" spans="1:19" x14ac:dyDescent="0.3">
      <c r="A30" s="15">
        <v>14</v>
      </c>
      <c r="B30" s="15" t="s">
        <v>44</v>
      </c>
      <c r="C30" s="25">
        <v>0</v>
      </c>
      <c r="D30" s="25">
        <v>95100</v>
      </c>
      <c r="E30" s="25">
        <v>129000</v>
      </c>
      <c r="F30" s="25">
        <v>163000</v>
      </c>
      <c r="G30" s="25">
        <v>192000</v>
      </c>
      <c r="H30" s="25">
        <v>214000</v>
      </c>
      <c r="I30" s="25">
        <v>227000</v>
      </c>
      <c r="J30" s="25">
        <v>235000</v>
      </c>
      <c r="K30" s="25">
        <v>239000</v>
      </c>
      <c r="L30" s="25">
        <v>240000</v>
      </c>
      <c r="S30" s="25" t="str">
        <f t="shared" si="0"/>
        <v>SoilCurves14.addManualPY(8.75,Array(0,0.00784,0.0157,0.0314,0.0627,0.125,0.251,0.502,1,2.01),Array(0,95100,129000,163000,192000,214000,227000,235000,239000,240000));</v>
      </c>
    </row>
    <row r="31" spans="1:19" x14ac:dyDescent="0.3">
      <c r="A31" s="15"/>
      <c r="B31" s="15" t="s">
        <v>39</v>
      </c>
      <c r="C31" s="25">
        <v>0</v>
      </c>
      <c r="D31" s="25">
        <v>7.8399999999999997E-3</v>
      </c>
      <c r="E31" s="25">
        <v>1.5699999999999999E-2</v>
      </c>
      <c r="F31" s="25">
        <v>3.1399999999999997E-2</v>
      </c>
      <c r="G31" s="25">
        <v>6.2700000000000006E-2</v>
      </c>
      <c r="H31" s="25">
        <v>0.125</v>
      </c>
      <c r="I31" s="25">
        <v>0.251</v>
      </c>
      <c r="J31" s="25">
        <v>0.502</v>
      </c>
      <c r="K31" s="25">
        <v>1</v>
      </c>
      <c r="L31" s="25">
        <v>2.0099999999999998</v>
      </c>
      <c r="S31" s="25" t="str">
        <f t="shared" si="0"/>
        <v/>
      </c>
    </row>
    <row r="32" spans="1:19" x14ac:dyDescent="0.3">
      <c r="A32" s="15">
        <v>15</v>
      </c>
      <c r="B32" s="15" t="s">
        <v>44</v>
      </c>
      <c r="C32" s="25">
        <v>0</v>
      </c>
      <c r="D32" s="25">
        <v>101000</v>
      </c>
      <c r="E32" s="25">
        <v>138000</v>
      </c>
      <c r="F32" s="25">
        <v>175000</v>
      </c>
      <c r="G32" s="25">
        <v>206000</v>
      </c>
      <c r="H32" s="25">
        <v>230000</v>
      </c>
      <c r="I32" s="25">
        <v>245000</v>
      </c>
      <c r="J32" s="25">
        <v>253000</v>
      </c>
      <c r="K32" s="25">
        <v>258000</v>
      </c>
      <c r="L32" s="25">
        <v>259000</v>
      </c>
      <c r="S32" s="25" t="str">
        <f t="shared" si="0"/>
        <v>SoilCurves15.addManualPY(8.75,Array(0,0.00776,0.0155,0.031,0.0621,0.124,0.248,0.496,0.993,1.99),Array(0,101000,138000,175000,206000,230000,245000,253000,258000,259000));</v>
      </c>
    </row>
    <row r="33" spans="1:19" x14ac:dyDescent="0.3">
      <c r="A33" s="15"/>
      <c r="B33" s="15" t="s">
        <v>39</v>
      </c>
      <c r="C33" s="25">
        <v>0</v>
      </c>
      <c r="D33" s="25">
        <v>7.7600000000000004E-3</v>
      </c>
      <c r="E33" s="25">
        <v>1.55E-2</v>
      </c>
      <c r="F33" s="25">
        <v>3.1E-2</v>
      </c>
      <c r="G33" s="25">
        <v>6.2100000000000002E-2</v>
      </c>
      <c r="H33" s="25">
        <v>0.124</v>
      </c>
      <c r="I33" s="25">
        <v>0.248</v>
      </c>
      <c r="J33" s="25">
        <v>0.496</v>
      </c>
      <c r="K33" s="25">
        <v>0.99299999999999999</v>
      </c>
      <c r="L33" s="25">
        <v>1.99</v>
      </c>
      <c r="S33" s="25" t="str">
        <f t="shared" si="0"/>
        <v/>
      </c>
    </row>
    <row r="34" spans="1:19" x14ac:dyDescent="0.3">
      <c r="A34" s="15">
        <v>16</v>
      </c>
      <c r="B34" s="15" t="s">
        <v>44</v>
      </c>
      <c r="C34" s="25">
        <v>0</v>
      </c>
      <c r="D34" s="25">
        <v>107000</v>
      </c>
      <c r="E34" s="25">
        <v>146000</v>
      </c>
      <c r="F34" s="25">
        <v>186000</v>
      </c>
      <c r="G34" s="25">
        <v>220000</v>
      </c>
      <c r="H34" s="25">
        <v>246000</v>
      </c>
      <c r="I34" s="25">
        <v>263000</v>
      </c>
      <c r="J34" s="25">
        <v>272000</v>
      </c>
      <c r="K34" s="25">
        <v>277000</v>
      </c>
      <c r="L34" s="25">
        <v>278000</v>
      </c>
      <c r="S34" s="25" t="str">
        <f t="shared" si="0"/>
        <v>SoilCurves16.addManualPY(8.75,Array(0,0.00769,0.0154,0.0307,0.0615,0.123,0.246,0.492,0.984,1.97),Array(0,107000,146000,186000,220000,246000,263000,272000,277000,278000));</v>
      </c>
    </row>
    <row r="35" spans="1:19" x14ac:dyDescent="0.3">
      <c r="A35" s="15"/>
      <c r="B35" s="15" t="s">
        <v>39</v>
      </c>
      <c r="C35" s="25">
        <v>0</v>
      </c>
      <c r="D35" s="25">
        <v>7.6899999999999998E-3</v>
      </c>
      <c r="E35" s="25">
        <v>1.54E-2</v>
      </c>
      <c r="F35" s="25">
        <v>3.0700000000000002E-2</v>
      </c>
      <c r="G35" s="25">
        <v>6.1499999999999999E-2</v>
      </c>
      <c r="H35" s="25">
        <v>0.123</v>
      </c>
      <c r="I35" s="25">
        <v>0.246</v>
      </c>
      <c r="J35" s="25">
        <v>0.49199999999999999</v>
      </c>
      <c r="K35" s="25">
        <v>0.98399999999999999</v>
      </c>
      <c r="L35" s="25">
        <v>1.97</v>
      </c>
      <c r="S35" s="25" t="str">
        <f t="shared" si="0"/>
        <v/>
      </c>
    </row>
    <row r="36" spans="1:19" x14ac:dyDescent="0.3">
      <c r="A36" s="15">
        <v>17</v>
      </c>
      <c r="B36" s="15" t="s">
        <v>44</v>
      </c>
      <c r="C36" s="25">
        <v>0</v>
      </c>
      <c r="D36" s="25">
        <v>113000</v>
      </c>
      <c r="E36" s="25">
        <v>155000</v>
      </c>
      <c r="F36" s="25">
        <v>197000</v>
      </c>
      <c r="G36" s="25">
        <v>234000</v>
      </c>
      <c r="H36" s="25">
        <v>262000</v>
      </c>
      <c r="I36" s="25">
        <v>280000</v>
      </c>
      <c r="J36" s="25">
        <v>291000</v>
      </c>
      <c r="K36" s="25">
        <v>296000</v>
      </c>
      <c r="L36" s="25">
        <v>297000</v>
      </c>
      <c r="S36" s="25" t="str">
        <f t="shared" si="0"/>
        <v>SoilCurves17.addManualPY(8.75,Array(0,0.00762,0.0152,0.0305,0.061,0.122,0.244,0.488,0.976,1.95),Array(0,113000,155000,197000,234000,262000,280000,291000,296000,297000));</v>
      </c>
    </row>
    <row r="37" spans="1:19" x14ac:dyDescent="0.3">
      <c r="A37" s="15"/>
      <c r="B37" s="15" t="s">
        <v>39</v>
      </c>
      <c r="C37" s="25">
        <v>0</v>
      </c>
      <c r="D37" s="25">
        <v>7.62E-3</v>
      </c>
      <c r="E37" s="25">
        <v>1.52E-2</v>
      </c>
      <c r="F37" s="25">
        <v>3.0499999999999999E-2</v>
      </c>
      <c r="G37" s="25">
        <v>6.0999999999999999E-2</v>
      </c>
      <c r="H37" s="25">
        <v>0.122</v>
      </c>
      <c r="I37" s="25">
        <v>0.24399999999999999</v>
      </c>
      <c r="J37" s="25">
        <v>0.48799999999999999</v>
      </c>
      <c r="K37" s="25">
        <v>0.97599999999999998</v>
      </c>
      <c r="L37" s="25">
        <v>1.95</v>
      </c>
      <c r="S37" s="25" t="str">
        <f t="shared" si="0"/>
        <v/>
      </c>
    </row>
    <row r="38" spans="1:19" x14ac:dyDescent="0.3">
      <c r="A38" s="15">
        <v>18</v>
      </c>
      <c r="B38" s="15" t="s">
        <v>44</v>
      </c>
      <c r="C38" s="25">
        <v>0</v>
      </c>
      <c r="D38" s="25">
        <v>119000</v>
      </c>
      <c r="E38" s="25">
        <v>163000</v>
      </c>
      <c r="F38" s="25">
        <v>209000</v>
      </c>
      <c r="G38" s="25">
        <v>249000</v>
      </c>
      <c r="H38" s="25">
        <v>279000</v>
      </c>
      <c r="I38" s="25">
        <v>298000</v>
      </c>
      <c r="J38" s="25">
        <v>310000</v>
      </c>
      <c r="K38" s="25">
        <v>315000</v>
      </c>
      <c r="L38" s="25">
        <v>317000</v>
      </c>
      <c r="S38" s="25" t="str">
        <f t="shared" si="0"/>
        <v>SoilCurves18.addManualPY(8.75,Array(0,0.00757,0.0151,0.0303,0.0605,0.121,0.242,0.484,0.968,1.94),Array(0,119000,163000,209000,249000,279000,298000,310000,315000,317000));</v>
      </c>
    </row>
    <row r="39" spans="1:19" x14ac:dyDescent="0.3">
      <c r="A39" s="15"/>
      <c r="B39" s="15" t="s">
        <v>39</v>
      </c>
      <c r="C39" s="25">
        <v>0</v>
      </c>
      <c r="D39" s="25">
        <v>7.5700000000000003E-3</v>
      </c>
      <c r="E39" s="25">
        <v>1.5100000000000001E-2</v>
      </c>
      <c r="F39" s="25">
        <v>3.0300000000000001E-2</v>
      </c>
      <c r="G39" s="25">
        <v>6.0499999999999998E-2</v>
      </c>
      <c r="H39" s="25">
        <v>0.121</v>
      </c>
      <c r="I39" s="25">
        <v>0.24199999999999999</v>
      </c>
      <c r="J39" s="25">
        <v>0.48399999999999999</v>
      </c>
      <c r="K39" s="25">
        <v>0.96799999999999997</v>
      </c>
      <c r="L39" s="25">
        <v>1.94</v>
      </c>
      <c r="S39" s="25" t="str">
        <f t="shared" si="0"/>
        <v/>
      </c>
    </row>
    <row r="40" spans="1:19" x14ac:dyDescent="0.3">
      <c r="A40" s="15">
        <v>19</v>
      </c>
      <c r="B40" s="15" t="s">
        <v>44</v>
      </c>
      <c r="C40" s="25">
        <v>0</v>
      </c>
      <c r="D40" s="25">
        <v>124000</v>
      </c>
      <c r="E40" s="25">
        <v>171000</v>
      </c>
      <c r="F40" s="25">
        <v>220000</v>
      </c>
      <c r="G40" s="25">
        <v>262000</v>
      </c>
      <c r="H40" s="25">
        <v>295000</v>
      </c>
      <c r="I40" s="25">
        <v>316000</v>
      </c>
      <c r="J40" s="25">
        <v>328000</v>
      </c>
      <c r="K40" s="25">
        <v>334000</v>
      </c>
      <c r="L40" s="25">
        <v>336000</v>
      </c>
      <c r="S40" s="25" t="str">
        <f t="shared" si="0"/>
        <v>SoilCurves19.addManualPY(8.75,Array(0,0.00752,0.015,0.0301,0.0601,0.12,0.241,0.481,0.962,1.92),Array(0,124000,171000,220000,262000,295000,316000,328000,334000,336000));</v>
      </c>
    </row>
    <row r="41" spans="1:19" x14ac:dyDescent="0.3">
      <c r="A41" s="15"/>
      <c r="B41" s="15" t="s">
        <v>39</v>
      </c>
      <c r="C41" s="25">
        <v>0</v>
      </c>
      <c r="D41" s="25">
        <v>7.5199999999999998E-3</v>
      </c>
      <c r="E41" s="25">
        <v>1.4999999999999999E-2</v>
      </c>
      <c r="F41" s="25">
        <v>3.0099999999999998E-2</v>
      </c>
      <c r="G41" s="25">
        <v>6.0100000000000001E-2</v>
      </c>
      <c r="H41" s="25">
        <v>0.12</v>
      </c>
      <c r="I41" s="25">
        <v>0.24099999999999999</v>
      </c>
      <c r="J41" s="25">
        <v>0.48099999999999998</v>
      </c>
      <c r="K41" s="25">
        <v>0.96199999999999997</v>
      </c>
      <c r="L41" s="25">
        <v>1.92</v>
      </c>
      <c r="S41" s="25" t="str">
        <f t="shared" si="0"/>
        <v/>
      </c>
    </row>
    <row r="42" spans="1:19" x14ac:dyDescent="0.3">
      <c r="A42" s="15">
        <v>20</v>
      </c>
      <c r="B42" s="15" t="s">
        <v>44</v>
      </c>
      <c r="C42" s="25">
        <v>0</v>
      </c>
      <c r="D42" s="25">
        <v>130000</v>
      </c>
      <c r="E42" s="25">
        <v>179000</v>
      </c>
      <c r="F42" s="25">
        <v>231000</v>
      </c>
      <c r="G42" s="25">
        <v>276000</v>
      </c>
      <c r="H42" s="25">
        <v>311000</v>
      </c>
      <c r="I42" s="25">
        <v>334000</v>
      </c>
      <c r="J42" s="25">
        <v>347000</v>
      </c>
      <c r="K42" s="25">
        <v>354000</v>
      </c>
      <c r="L42" s="25">
        <v>356000</v>
      </c>
      <c r="S42" s="25" t="str">
        <f t="shared" si="0"/>
        <v>SoilCurves20.addManualPY(8.75,Array(0,0.00747,0.0149,0.0299,0.0598,0.12,0.239,0.478,0.956,1.91),Array(0,130000,179000,231000,276000,311000,334000,347000,354000,356000));</v>
      </c>
    </row>
    <row r="43" spans="1:19" x14ac:dyDescent="0.3">
      <c r="A43" s="15"/>
      <c r="B43" s="15" t="s">
        <v>39</v>
      </c>
      <c r="C43" s="25">
        <v>0</v>
      </c>
      <c r="D43" s="25">
        <v>7.4700000000000001E-3</v>
      </c>
      <c r="E43" s="25">
        <v>1.49E-2</v>
      </c>
      <c r="F43" s="25">
        <v>2.9899999999999999E-2</v>
      </c>
      <c r="G43" s="25">
        <v>5.9799999999999999E-2</v>
      </c>
      <c r="H43" s="25">
        <v>0.12</v>
      </c>
      <c r="I43" s="25">
        <v>0.23899999999999999</v>
      </c>
      <c r="J43" s="25">
        <v>0.47799999999999998</v>
      </c>
      <c r="K43" s="25">
        <v>0.95599999999999996</v>
      </c>
      <c r="L43" s="25">
        <v>1.91</v>
      </c>
      <c r="S43" s="25" t="str">
        <f t="shared" si="0"/>
        <v/>
      </c>
    </row>
    <row r="44" spans="1:19" x14ac:dyDescent="0.3">
      <c r="A44" s="15">
        <v>21</v>
      </c>
      <c r="B44" s="15" t="s">
        <v>44</v>
      </c>
      <c r="C44" s="25">
        <v>0</v>
      </c>
      <c r="D44" s="25">
        <v>286000</v>
      </c>
      <c r="E44" s="25">
        <v>397000</v>
      </c>
      <c r="F44" s="25">
        <v>527000</v>
      </c>
      <c r="G44" s="25">
        <v>664000</v>
      </c>
      <c r="H44" s="25">
        <v>794000</v>
      </c>
      <c r="I44" s="25">
        <v>899000</v>
      </c>
      <c r="J44" s="25">
        <v>972000</v>
      </c>
      <c r="K44" s="25">
        <v>1010000</v>
      </c>
      <c r="L44" s="25">
        <v>1030000</v>
      </c>
      <c r="S44" s="25" t="str">
        <f t="shared" si="0"/>
        <v>SoilCurves21.addManualPY(8.75,Array(0,0.00588,0.0118,0.0235,0.0471,0.0941,0.188,0.376,0.753,1.51),Array(0,286000,397000,527000,664000,794000,899000,972000,1010000,1030000));</v>
      </c>
    </row>
    <row r="45" spans="1:19" x14ac:dyDescent="0.3">
      <c r="A45" s="15"/>
      <c r="B45" s="15" t="s">
        <v>39</v>
      </c>
      <c r="C45" s="25">
        <v>0</v>
      </c>
      <c r="D45" s="25">
        <v>5.8799999999999998E-3</v>
      </c>
      <c r="E45" s="25">
        <v>1.18E-2</v>
      </c>
      <c r="F45" s="25">
        <v>2.35E-2</v>
      </c>
      <c r="G45" s="25">
        <v>4.7100000000000003E-2</v>
      </c>
      <c r="H45" s="25">
        <v>9.4100000000000003E-2</v>
      </c>
      <c r="I45" s="25">
        <v>0.188</v>
      </c>
      <c r="J45" s="25">
        <v>0.376</v>
      </c>
      <c r="K45" s="25">
        <v>0.753</v>
      </c>
      <c r="L45" s="25">
        <v>1.51</v>
      </c>
      <c r="S45" s="25" t="str">
        <f t="shared" si="0"/>
        <v/>
      </c>
    </row>
    <row r="46" spans="1:19" x14ac:dyDescent="0.3">
      <c r="A46" s="15">
        <v>22</v>
      </c>
      <c r="B46" s="15" t="s">
        <v>44</v>
      </c>
      <c r="C46" s="25">
        <v>0</v>
      </c>
      <c r="D46" s="25">
        <v>294000</v>
      </c>
      <c r="E46" s="25">
        <v>409000</v>
      </c>
      <c r="F46" s="25">
        <v>543000</v>
      </c>
      <c r="G46" s="25">
        <v>685000</v>
      </c>
      <c r="H46" s="25">
        <v>820000</v>
      </c>
      <c r="I46" s="25">
        <v>930000</v>
      </c>
      <c r="J46" s="25">
        <v>1010000</v>
      </c>
      <c r="K46" s="25">
        <v>1050000</v>
      </c>
      <c r="L46" s="25">
        <v>1060000</v>
      </c>
      <c r="S46" s="25" t="str">
        <f t="shared" si="0"/>
        <v>SoilCurves22.addManualPY(8.75,Array(0,0.00577,0.0115,0.0231,0.0462,0.0923,0.185,0.369,0.739,1.48),Array(0,294000,409000,543000,685000,820000,930000,1010000,1050000,1060000));</v>
      </c>
    </row>
    <row r="47" spans="1:19" x14ac:dyDescent="0.3">
      <c r="A47" s="15"/>
      <c r="B47" s="15" t="s">
        <v>39</v>
      </c>
      <c r="C47" s="25">
        <v>0</v>
      </c>
      <c r="D47" s="25">
        <v>5.77E-3</v>
      </c>
      <c r="E47" s="25">
        <v>1.15E-2</v>
      </c>
      <c r="F47" s="25">
        <v>2.3099999999999999E-2</v>
      </c>
      <c r="G47" s="25">
        <v>4.6199999999999998E-2</v>
      </c>
      <c r="H47" s="25">
        <v>9.2299999999999993E-2</v>
      </c>
      <c r="I47" s="25">
        <v>0.185</v>
      </c>
      <c r="J47" s="25">
        <v>0.36899999999999999</v>
      </c>
      <c r="K47" s="25">
        <v>0.73899999999999999</v>
      </c>
      <c r="L47" s="25">
        <v>1.48</v>
      </c>
      <c r="S47" s="25" t="str">
        <f t="shared" si="0"/>
        <v/>
      </c>
    </row>
    <row r="48" spans="1:19" x14ac:dyDescent="0.3">
      <c r="A48" s="15">
        <v>23</v>
      </c>
      <c r="B48" s="15" t="s">
        <v>44</v>
      </c>
      <c r="C48" s="25">
        <v>0</v>
      </c>
      <c r="D48" s="25">
        <v>301000</v>
      </c>
      <c r="E48" s="25">
        <v>420000</v>
      </c>
      <c r="F48" s="25">
        <v>558000</v>
      </c>
      <c r="G48" s="25">
        <v>706000</v>
      </c>
      <c r="H48" s="25">
        <v>846000</v>
      </c>
      <c r="I48" s="25">
        <v>961000</v>
      </c>
      <c r="J48" s="25">
        <v>1040000</v>
      </c>
      <c r="K48" s="25">
        <v>1080000</v>
      </c>
      <c r="L48" s="25">
        <v>1100000</v>
      </c>
      <c r="S48" s="25" t="str">
        <f t="shared" si="0"/>
        <v>SoilCurves23.addManualPY(8.75,Array(0,0.00567,0.0113,0.0227,0.0453,0.0906,0.181,0.363,0.725,1.45),Array(0,301000,420000,558000,706000,846000,961000,1040000,1080000,1100000));</v>
      </c>
    </row>
    <row r="49" spans="1:19" x14ac:dyDescent="0.3">
      <c r="A49" s="15"/>
      <c r="B49" s="15" t="s">
        <v>39</v>
      </c>
      <c r="C49" s="25">
        <v>0</v>
      </c>
      <c r="D49" s="25">
        <v>5.6699999999999997E-3</v>
      </c>
      <c r="E49" s="25">
        <v>1.1299999999999999E-2</v>
      </c>
      <c r="F49" s="25">
        <v>2.2700000000000001E-2</v>
      </c>
      <c r="G49" s="25">
        <v>4.53E-2</v>
      </c>
      <c r="H49" s="25">
        <v>9.06E-2</v>
      </c>
      <c r="I49" s="25">
        <v>0.18099999999999999</v>
      </c>
      <c r="J49" s="25">
        <v>0.36299999999999999</v>
      </c>
      <c r="K49" s="25">
        <v>0.72499999999999998</v>
      </c>
      <c r="L49" s="25">
        <v>1.45</v>
      </c>
      <c r="S49" s="25" t="str">
        <f t="shared" si="0"/>
        <v/>
      </c>
    </row>
    <row r="50" spans="1:19" x14ac:dyDescent="0.3">
      <c r="A50" s="15">
        <v>24</v>
      </c>
      <c r="B50" s="15" t="s">
        <v>44</v>
      </c>
      <c r="C50" s="25">
        <v>0</v>
      </c>
      <c r="D50" s="25">
        <v>308000</v>
      </c>
      <c r="E50" s="25">
        <v>430000</v>
      </c>
      <c r="F50" s="25">
        <v>574000</v>
      </c>
      <c r="G50" s="25">
        <v>727000</v>
      </c>
      <c r="H50" s="25">
        <v>872000</v>
      </c>
      <c r="I50" s="25">
        <v>991000</v>
      </c>
      <c r="J50" s="25">
        <v>1070000</v>
      </c>
      <c r="K50" s="25">
        <v>1120000</v>
      </c>
      <c r="L50" s="25">
        <v>1140000</v>
      </c>
      <c r="S50" s="25" t="str">
        <f t="shared" si="0"/>
        <v>SoilCurves24.addManualPY(8.75,Array(0,0.00557,0.0111,0.0223,0.0445,0.0891,0.178,0.356,0.713,1.43),Array(0,308000,430000,574000,727000,872000,991000,1070000,1120000,1140000));</v>
      </c>
    </row>
    <row r="51" spans="1:19" x14ac:dyDescent="0.3">
      <c r="A51" s="15"/>
      <c r="B51" s="15" t="s">
        <v>39</v>
      </c>
      <c r="C51" s="25">
        <v>0</v>
      </c>
      <c r="D51" s="25">
        <v>5.5700000000000003E-3</v>
      </c>
      <c r="E51" s="25">
        <v>1.11E-2</v>
      </c>
      <c r="F51" s="25">
        <v>2.23E-2</v>
      </c>
      <c r="G51" s="25">
        <v>4.4499999999999998E-2</v>
      </c>
      <c r="H51" s="25">
        <v>8.9099999999999999E-2</v>
      </c>
      <c r="I51" s="25">
        <v>0.17799999999999999</v>
      </c>
      <c r="J51" s="25">
        <v>0.35599999999999998</v>
      </c>
      <c r="K51" s="25">
        <v>0.71299999999999997</v>
      </c>
      <c r="L51" s="25">
        <v>1.43</v>
      </c>
      <c r="S51" s="25" t="str">
        <f t="shared" si="0"/>
        <v/>
      </c>
    </row>
    <row r="52" spans="1:19" x14ac:dyDescent="0.3">
      <c r="A52" s="15">
        <v>25</v>
      </c>
      <c r="B52" s="15" t="s">
        <v>44</v>
      </c>
      <c r="C52" s="25">
        <v>0</v>
      </c>
      <c r="D52" s="25">
        <v>314000</v>
      </c>
      <c r="E52" s="25">
        <v>441000</v>
      </c>
      <c r="F52" s="25">
        <v>589000</v>
      </c>
      <c r="G52" s="25">
        <v>747000</v>
      </c>
      <c r="H52" s="25">
        <v>898000</v>
      </c>
      <c r="I52" s="25">
        <v>1020000</v>
      </c>
      <c r="J52" s="25">
        <v>1110000</v>
      </c>
      <c r="K52" s="25">
        <v>1160000</v>
      </c>
      <c r="L52" s="25">
        <v>1170000</v>
      </c>
      <c r="S52" s="25" t="str">
        <f t="shared" si="0"/>
        <v>SoilCurves25.addManualPY(8.75,Array(0,0.00548,0.011,0.0219,0.0438,0.0876,0.175,0.351,0.701,1.4),Array(0,314000,441000,589000,747000,898000,1020000,1110000,1160000,1170000));</v>
      </c>
    </row>
    <row r="53" spans="1:19" x14ac:dyDescent="0.3">
      <c r="A53" s="15"/>
      <c r="B53" s="15" t="s">
        <v>39</v>
      </c>
      <c r="C53" s="25">
        <v>0</v>
      </c>
      <c r="D53" s="25">
        <v>5.4799999999999996E-3</v>
      </c>
      <c r="E53" s="25">
        <v>1.0999999999999999E-2</v>
      </c>
      <c r="F53" s="25">
        <v>2.1899999999999999E-2</v>
      </c>
      <c r="G53" s="25">
        <v>4.3799999999999999E-2</v>
      </c>
      <c r="H53" s="25">
        <v>8.7599999999999997E-2</v>
      </c>
      <c r="I53" s="25">
        <v>0.17499999999999999</v>
      </c>
      <c r="J53" s="25">
        <v>0.35099999999999998</v>
      </c>
      <c r="K53" s="25">
        <v>0.70099999999999996</v>
      </c>
      <c r="L53" s="25">
        <v>1.4</v>
      </c>
      <c r="S53" s="25" t="str">
        <f t="shared" si="0"/>
        <v/>
      </c>
    </row>
    <row r="54" spans="1:19" x14ac:dyDescent="0.3">
      <c r="A54" s="15">
        <v>26</v>
      </c>
      <c r="B54" s="15" t="s">
        <v>44</v>
      </c>
      <c r="C54" s="25">
        <v>0</v>
      </c>
      <c r="D54" s="25">
        <v>321000</v>
      </c>
      <c r="E54" s="25">
        <v>451000</v>
      </c>
      <c r="F54" s="25">
        <v>604000</v>
      </c>
      <c r="G54" s="25">
        <v>768000</v>
      </c>
      <c r="H54" s="25">
        <v>924000</v>
      </c>
      <c r="I54" s="25">
        <v>1050000</v>
      </c>
      <c r="J54" s="25">
        <v>1140000</v>
      </c>
      <c r="K54" s="25">
        <v>1190000</v>
      </c>
      <c r="L54" s="25">
        <v>1210000</v>
      </c>
      <c r="S54" s="25" t="str">
        <f t="shared" si="0"/>
        <v>SoilCurves26.addManualPY(8.75,Array(0,0.00539,0.0108,0.0216,0.0431,0.0863,0.173,0.345,0.69,1.38),Array(0,321000,451000,604000,768000,924000,1050000,1140000,1190000,1210000));</v>
      </c>
    </row>
    <row r="55" spans="1:19" x14ac:dyDescent="0.3">
      <c r="A55" s="15"/>
      <c r="B55" s="15" t="s">
        <v>39</v>
      </c>
      <c r="C55" s="25">
        <v>0</v>
      </c>
      <c r="D55" s="25">
        <v>5.3899999999999998E-3</v>
      </c>
      <c r="E55" s="25">
        <v>1.0800000000000001E-2</v>
      </c>
      <c r="F55" s="25">
        <v>2.1600000000000001E-2</v>
      </c>
      <c r="G55" s="25">
        <v>4.3099999999999999E-2</v>
      </c>
      <c r="H55" s="25">
        <v>8.6300000000000002E-2</v>
      </c>
      <c r="I55" s="25">
        <v>0.17299999999999999</v>
      </c>
      <c r="J55" s="25">
        <v>0.34499999999999997</v>
      </c>
      <c r="K55" s="25">
        <v>0.69</v>
      </c>
      <c r="L55" s="25">
        <v>1.38</v>
      </c>
      <c r="S55" s="25" t="str">
        <f t="shared" si="0"/>
        <v/>
      </c>
    </row>
    <row r="56" spans="1:19" x14ac:dyDescent="0.3">
      <c r="A56" s="15">
        <v>27</v>
      </c>
      <c r="B56" s="15" t="s">
        <v>44</v>
      </c>
      <c r="C56" s="25">
        <v>0</v>
      </c>
      <c r="D56" s="25">
        <v>327000</v>
      </c>
      <c r="E56" s="25">
        <v>461000</v>
      </c>
      <c r="F56" s="25">
        <v>618000</v>
      </c>
      <c r="G56" s="25">
        <v>788000</v>
      </c>
      <c r="H56" s="25">
        <v>949000</v>
      </c>
      <c r="I56" s="25">
        <v>1080000</v>
      </c>
      <c r="J56" s="25">
        <v>1180000</v>
      </c>
      <c r="K56" s="25">
        <v>1230000</v>
      </c>
      <c r="L56" s="25">
        <v>1250000</v>
      </c>
      <c r="S56" s="25" t="str">
        <f t="shared" si="0"/>
        <v>SoilCurves27.addManualPY(8.75,Array(0,0.00531,0.0106,0.0212,0.0425,0.085,0.17,0.34,0.68,1.36),Array(0,327000,461000,618000,788000,949000,1080000,1180000,1230000,1250000));</v>
      </c>
    </row>
    <row r="57" spans="1:19" x14ac:dyDescent="0.3">
      <c r="A57" s="15"/>
      <c r="B57" s="15" t="s">
        <v>39</v>
      </c>
      <c r="C57" s="25">
        <v>0</v>
      </c>
      <c r="D57" s="25">
        <v>5.3099999999999996E-3</v>
      </c>
      <c r="E57" s="25">
        <v>1.06E-2</v>
      </c>
      <c r="F57" s="25">
        <v>2.12E-2</v>
      </c>
      <c r="G57" s="25">
        <v>4.2500000000000003E-2</v>
      </c>
      <c r="H57" s="25">
        <v>8.5000000000000006E-2</v>
      </c>
      <c r="I57" s="25">
        <v>0.17</v>
      </c>
      <c r="J57" s="25">
        <v>0.34</v>
      </c>
      <c r="K57" s="25">
        <v>0.68</v>
      </c>
      <c r="L57" s="25">
        <v>1.36</v>
      </c>
      <c r="S57" s="25" t="str">
        <f t="shared" si="0"/>
        <v/>
      </c>
    </row>
    <row r="58" spans="1:19" x14ac:dyDescent="0.3">
      <c r="A58" s="15">
        <v>28</v>
      </c>
      <c r="B58" s="15" t="s">
        <v>44</v>
      </c>
      <c r="C58" s="25">
        <v>0</v>
      </c>
      <c r="D58" s="25">
        <v>332000</v>
      </c>
      <c r="E58" s="25">
        <v>470000</v>
      </c>
      <c r="F58" s="25">
        <v>633000</v>
      </c>
      <c r="G58" s="25">
        <v>807000</v>
      </c>
      <c r="H58" s="25">
        <v>974000</v>
      </c>
      <c r="I58" s="25">
        <v>1110000</v>
      </c>
      <c r="J58" s="25">
        <v>1210000</v>
      </c>
      <c r="K58" s="25">
        <v>1260000</v>
      </c>
      <c r="L58" s="25">
        <v>1280000</v>
      </c>
      <c r="S58" s="25" t="str">
        <f t="shared" si="0"/>
        <v>SoilCurves28.addManualPY(8.75,Array(0,0.00524,0.0105,0.0209,0.0419,0.0838,0.168,0.335,0.67,1.34),Array(0,332000,470000,633000,807000,974000,1110000,1210000,1260000,1280000));</v>
      </c>
    </row>
    <row r="59" spans="1:19" x14ac:dyDescent="0.3">
      <c r="A59" s="15"/>
      <c r="B59" s="15" t="s">
        <v>39</v>
      </c>
      <c r="C59" s="25">
        <v>0</v>
      </c>
      <c r="D59" s="25">
        <v>5.2399999999999999E-3</v>
      </c>
      <c r="E59" s="25">
        <v>1.0500000000000001E-2</v>
      </c>
      <c r="F59" s="25">
        <v>2.0899999999999998E-2</v>
      </c>
      <c r="G59" s="25">
        <v>4.19E-2</v>
      </c>
      <c r="H59" s="25">
        <v>8.3799999999999999E-2</v>
      </c>
      <c r="I59" s="25">
        <v>0.16800000000000001</v>
      </c>
      <c r="J59" s="25">
        <v>0.33500000000000002</v>
      </c>
      <c r="K59" s="25">
        <v>0.67</v>
      </c>
      <c r="L59" s="25">
        <v>1.34</v>
      </c>
      <c r="S59" s="25" t="str">
        <f t="shared" si="0"/>
        <v/>
      </c>
    </row>
    <row r="60" spans="1:19" x14ac:dyDescent="0.3">
      <c r="A60" s="15">
        <v>29</v>
      </c>
      <c r="B60" s="15" t="s">
        <v>44</v>
      </c>
      <c r="C60" s="25">
        <v>0</v>
      </c>
      <c r="D60" s="25">
        <v>338000</v>
      </c>
      <c r="E60" s="25">
        <v>479000</v>
      </c>
      <c r="F60" s="25">
        <v>646000</v>
      </c>
      <c r="G60" s="25">
        <v>826000</v>
      </c>
      <c r="H60" s="25">
        <v>999000</v>
      </c>
      <c r="I60" s="25">
        <v>1140000</v>
      </c>
      <c r="J60" s="25">
        <v>1240000</v>
      </c>
      <c r="K60" s="25">
        <v>1300000</v>
      </c>
      <c r="L60" s="25">
        <v>1320000</v>
      </c>
      <c r="S60" s="25" t="str">
        <f t="shared" si="0"/>
        <v>SoilCurves29.addManualPY(8.75,Array(0,0.00517,0.0103,0.0207,0.0413,0.0827,0.165,0.331,0.661,1.32),Array(0,338000,479000,646000,826000,999000,1140000,1240000,1300000,1320000));</v>
      </c>
    </row>
    <row r="61" spans="1:19" x14ac:dyDescent="0.3">
      <c r="A61" s="15"/>
      <c r="B61" s="15" t="s">
        <v>39</v>
      </c>
      <c r="C61" s="25">
        <v>0</v>
      </c>
      <c r="D61" s="25">
        <v>5.1700000000000001E-3</v>
      </c>
      <c r="E61" s="25">
        <v>1.03E-2</v>
      </c>
      <c r="F61" s="25">
        <v>2.07E-2</v>
      </c>
      <c r="G61" s="25">
        <v>4.1300000000000003E-2</v>
      </c>
      <c r="H61" s="25">
        <v>8.2699999999999996E-2</v>
      </c>
      <c r="I61" s="25">
        <v>0.16500000000000001</v>
      </c>
      <c r="J61" s="25">
        <v>0.33100000000000002</v>
      </c>
      <c r="K61" s="25">
        <v>0.66100000000000003</v>
      </c>
      <c r="L61" s="25">
        <v>1.32</v>
      </c>
      <c r="S61" s="25" t="str">
        <f t="shared" si="0"/>
        <v/>
      </c>
    </row>
    <row r="62" spans="1:19" x14ac:dyDescent="0.3">
      <c r="A62" s="15">
        <v>30</v>
      </c>
      <c r="B62" s="15" t="s">
        <v>44</v>
      </c>
      <c r="C62" s="25">
        <v>0</v>
      </c>
      <c r="D62" s="25">
        <v>343000</v>
      </c>
      <c r="E62" s="25">
        <v>488000</v>
      </c>
      <c r="F62" s="25">
        <v>660000</v>
      </c>
      <c r="G62" s="25">
        <v>845000</v>
      </c>
      <c r="H62" s="25">
        <v>1020000</v>
      </c>
      <c r="I62" s="25">
        <v>1170000</v>
      </c>
      <c r="J62" s="25">
        <v>1280000</v>
      </c>
      <c r="K62" s="25">
        <v>1340000</v>
      </c>
      <c r="L62" s="25">
        <v>1360000</v>
      </c>
      <c r="S62" s="25" t="str">
        <f t="shared" si="0"/>
        <v>SoilCurves30.addManualPY(8.75,Array(0,0.0051,0.0102,0.0204,0.0408,0.0816,0.163,0.326,0.653,1.31),Array(0,343000,488000,660000,845000,1020000,1170000,1280000,1340000,1360000));</v>
      </c>
    </row>
    <row r="63" spans="1:19" x14ac:dyDescent="0.3">
      <c r="A63" s="15"/>
      <c r="B63" s="15" t="s">
        <v>39</v>
      </c>
      <c r="C63" s="25">
        <v>0</v>
      </c>
      <c r="D63" s="25">
        <v>5.1000000000000004E-3</v>
      </c>
      <c r="E63" s="25">
        <v>1.0200000000000001E-2</v>
      </c>
      <c r="F63" s="25">
        <v>2.0400000000000001E-2</v>
      </c>
      <c r="G63" s="25">
        <v>4.0800000000000003E-2</v>
      </c>
      <c r="H63" s="25">
        <v>8.1600000000000006E-2</v>
      </c>
      <c r="I63" s="25">
        <v>0.16300000000000001</v>
      </c>
      <c r="J63" s="25">
        <v>0.32600000000000001</v>
      </c>
      <c r="K63" s="25">
        <v>0.65300000000000002</v>
      </c>
      <c r="L63" s="25">
        <v>1.31</v>
      </c>
      <c r="S63" s="25" t="str">
        <f t="shared" si="0"/>
        <v/>
      </c>
    </row>
    <row r="64" spans="1:19" x14ac:dyDescent="0.3">
      <c r="A64" s="15">
        <v>31</v>
      </c>
      <c r="B64" s="15" t="s">
        <v>44</v>
      </c>
      <c r="C64" s="25">
        <v>0</v>
      </c>
      <c r="D64" s="25">
        <v>348000</v>
      </c>
      <c r="E64" s="25">
        <v>496000</v>
      </c>
      <c r="F64" s="25">
        <v>672000</v>
      </c>
      <c r="G64" s="25">
        <v>863000</v>
      </c>
      <c r="H64" s="25">
        <v>1050000</v>
      </c>
      <c r="I64" s="25">
        <v>1200000</v>
      </c>
      <c r="J64" s="25">
        <v>1310000</v>
      </c>
      <c r="K64" s="25">
        <v>1370000</v>
      </c>
      <c r="L64" s="25">
        <v>1390000</v>
      </c>
      <c r="S64" s="25" t="str">
        <f t="shared" si="0"/>
        <v>SoilCurves31.addManualPY(8.75,Array(0,0.00504,0.0101,0.0202,0.0403,0.0806,0.161,0.322,0.645,1.29),Array(0,348000,496000,672000,863000,1050000,1200000,1310000,1370000,1390000));</v>
      </c>
    </row>
    <row r="65" spans="1:19" x14ac:dyDescent="0.3">
      <c r="A65" s="15"/>
      <c r="B65" s="15" t="s">
        <v>39</v>
      </c>
      <c r="C65" s="25">
        <v>0</v>
      </c>
      <c r="D65" s="25">
        <v>5.0400000000000002E-3</v>
      </c>
      <c r="E65" s="25">
        <v>1.01E-2</v>
      </c>
      <c r="F65" s="25">
        <v>2.0199999999999999E-2</v>
      </c>
      <c r="G65" s="25">
        <v>4.0300000000000002E-2</v>
      </c>
      <c r="H65" s="25">
        <v>8.0600000000000005E-2</v>
      </c>
      <c r="I65" s="25">
        <v>0.161</v>
      </c>
      <c r="J65" s="25">
        <v>0.32200000000000001</v>
      </c>
      <c r="K65" s="25">
        <v>0.64500000000000002</v>
      </c>
      <c r="L65" s="25">
        <v>1.29</v>
      </c>
      <c r="S65" s="25" t="str">
        <f t="shared" si="0"/>
        <v/>
      </c>
    </row>
    <row r="66" spans="1:19" x14ac:dyDescent="0.3">
      <c r="A66" s="15">
        <v>32</v>
      </c>
      <c r="B66" s="15" t="s">
        <v>44</v>
      </c>
      <c r="C66" s="25">
        <v>0</v>
      </c>
      <c r="D66" s="25">
        <v>352000</v>
      </c>
      <c r="E66" s="25">
        <v>504000</v>
      </c>
      <c r="F66" s="25">
        <v>685000</v>
      </c>
      <c r="G66" s="25">
        <v>881000</v>
      </c>
      <c r="H66" s="25">
        <v>1070000</v>
      </c>
      <c r="I66" s="25">
        <v>1230000</v>
      </c>
      <c r="J66" s="25">
        <v>1340000</v>
      </c>
      <c r="K66" s="25">
        <v>1410000</v>
      </c>
      <c r="L66" s="25">
        <v>1430000</v>
      </c>
      <c r="S66" s="25" t="str">
        <f t="shared" si="0"/>
        <v>SoilCurves32.addManualPY(8.75,Array(0,0.00498,0.00996,0.0199,0.0398,0.0797,0.159,0.319,0.637,1.27),Array(0,352000,504000,685000,881000,1070000,1230000,1340000,1410000,1430000));</v>
      </c>
    </row>
    <row r="67" spans="1:19" x14ac:dyDescent="0.3">
      <c r="A67" s="15"/>
      <c r="B67" s="15" t="s">
        <v>39</v>
      </c>
      <c r="C67" s="25">
        <v>0</v>
      </c>
      <c r="D67" s="25">
        <v>4.9800000000000001E-3</v>
      </c>
      <c r="E67" s="25">
        <v>9.9600000000000001E-3</v>
      </c>
      <c r="F67" s="25">
        <v>1.9900000000000001E-2</v>
      </c>
      <c r="G67" s="25">
        <v>3.9800000000000002E-2</v>
      </c>
      <c r="H67" s="25">
        <v>7.9699999999999993E-2</v>
      </c>
      <c r="I67" s="25">
        <v>0.159</v>
      </c>
      <c r="J67" s="25">
        <v>0.31900000000000001</v>
      </c>
      <c r="K67" s="25">
        <v>0.63700000000000001</v>
      </c>
      <c r="L67" s="25">
        <v>1.27</v>
      </c>
      <c r="S67" s="25" t="str">
        <f t="shared" si="0"/>
        <v/>
      </c>
    </row>
    <row r="68" spans="1:19" x14ac:dyDescent="0.3">
      <c r="A68" s="15">
        <v>33</v>
      </c>
      <c r="B68" s="15" t="s">
        <v>44</v>
      </c>
      <c r="C68" s="25">
        <v>0</v>
      </c>
      <c r="D68" s="25">
        <v>356000</v>
      </c>
      <c r="E68" s="25">
        <v>511000</v>
      </c>
      <c r="F68" s="25">
        <v>697000</v>
      </c>
      <c r="G68" s="25">
        <v>899000</v>
      </c>
      <c r="H68" s="25">
        <v>1090000</v>
      </c>
      <c r="I68" s="25">
        <v>1260000</v>
      </c>
      <c r="J68" s="25">
        <v>1380000</v>
      </c>
      <c r="K68" s="25">
        <v>1440000</v>
      </c>
      <c r="L68" s="25">
        <v>1470000</v>
      </c>
      <c r="S68" s="25" t="str">
        <f t="shared" si="0"/>
        <v>SoilCurves33.addManualPY(8.75,Array(0,0.00492,0.00984,0.0197,0.0394,0.0788,0.158,0.315,0.63,1.26),Array(0,356000,511000,697000,899000,1090000,1260000,1380000,1440000,1470000));</v>
      </c>
    </row>
    <row r="69" spans="1:19" x14ac:dyDescent="0.3">
      <c r="A69" s="15"/>
      <c r="B69" s="15" t="s">
        <v>39</v>
      </c>
      <c r="C69" s="25">
        <v>0</v>
      </c>
      <c r="D69" s="25">
        <v>4.9199999999999999E-3</v>
      </c>
      <c r="E69" s="25">
        <v>9.8399999999999998E-3</v>
      </c>
      <c r="F69" s="25">
        <v>1.9699999999999999E-2</v>
      </c>
      <c r="G69" s="25">
        <v>3.9399999999999998E-2</v>
      </c>
      <c r="H69" s="25">
        <v>7.8799999999999995E-2</v>
      </c>
      <c r="I69" s="25">
        <v>0.158</v>
      </c>
      <c r="J69" s="25">
        <v>0.315</v>
      </c>
      <c r="K69" s="25">
        <v>0.63</v>
      </c>
      <c r="L69" s="25">
        <v>1.26</v>
      </c>
      <c r="S69" s="25" t="str">
        <f t="shared" ref="S69:S82" si="1">IF(B69="P","SoilCurves"&amp;A69&amp;".addManualPY("&amp;$C$1&amp;",Array("&amp;_xlfn.TEXTJOIN(",",TRUE,C70:Q70)&amp;"),Array("&amp;_xlfn.TEXTJOIN(",",TRUE,C69:Q69)&amp;"));","")</f>
        <v/>
      </c>
    </row>
    <row r="70" spans="1:19" x14ac:dyDescent="0.3">
      <c r="A70" s="15">
        <v>34</v>
      </c>
      <c r="B70" s="15" t="s">
        <v>44</v>
      </c>
      <c r="C70" s="25">
        <v>0</v>
      </c>
      <c r="D70" s="25">
        <v>359000</v>
      </c>
      <c r="E70" s="25">
        <v>518000</v>
      </c>
      <c r="F70" s="25">
        <v>708000</v>
      </c>
      <c r="G70" s="25">
        <v>915000</v>
      </c>
      <c r="H70" s="25">
        <v>1120000</v>
      </c>
      <c r="I70" s="25">
        <v>1290000</v>
      </c>
      <c r="J70" s="25">
        <v>1410000</v>
      </c>
      <c r="K70" s="25">
        <v>1480000</v>
      </c>
      <c r="L70" s="25">
        <v>1500000</v>
      </c>
      <c r="S70" s="25" t="str">
        <f t="shared" si="1"/>
        <v>SoilCurves34.addManualPY(8.75,Array(0,0.00487,0.00974,0.0195,0.0389,0.0779,0.156,0.312,0.623,1.25),Array(0,359000,518000,708000,915000,1120000,1290000,1410000,1480000,1500000));</v>
      </c>
    </row>
    <row r="71" spans="1:19" x14ac:dyDescent="0.3">
      <c r="A71" s="15"/>
      <c r="B71" s="15" t="s">
        <v>39</v>
      </c>
      <c r="C71" s="25">
        <v>0</v>
      </c>
      <c r="D71" s="25">
        <v>4.8700000000000002E-3</v>
      </c>
      <c r="E71" s="25">
        <v>9.7400000000000004E-3</v>
      </c>
      <c r="F71" s="25">
        <v>1.95E-2</v>
      </c>
      <c r="G71" s="25">
        <v>3.8899999999999997E-2</v>
      </c>
      <c r="H71" s="25">
        <v>7.7899999999999997E-2</v>
      </c>
      <c r="I71" s="25">
        <v>0.156</v>
      </c>
      <c r="J71" s="25">
        <v>0.312</v>
      </c>
      <c r="K71" s="25">
        <v>0.623</v>
      </c>
      <c r="L71" s="25">
        <v>1.25</v>
      </c>
      <c r="S71" s="25" t="str">
        <f t="shared" si="1"/>
        <v/>
      </c>
    </row>
    <row r="72" spans="1:19" x14ac:dyDescent="0.3">
      <c r="A72" s="15">
        <v>35</v>
      </c>
      <c r="B72" s="15" t="s">
        <v>44</v>
      </c>
      <c r="C72" s="25">
        <v>0</v>
      </c>
      <c r="D72" s="25">
        <v>362000</v>
      </c>
      <c r="E72" s="25">
        <v>524000</v>
      </c>
      <c r="F72" s="25">
        <v>718000</v>
      </c>
      <c r="G72" s="25">
        <v>931000</v>
      </c>
      <c r="H72" s="25">
        <v>1140000</v>
      </c>
      <c r="I72" s="25">
        <v>1320000</v>
      </c>
      <c r="J72" s="25">
        <v>1440000</v>
      </c>
      <c r="K72" s="25">
        <v>1520000</v>
      </c>
      <c r="L72" s="25">
        <v>1540000</v>
      </c>
      <c r="S72" s="25" t="str">
        <f t="shared" si="1"/>
        <v>SoilCurves35.addManualPY(8.75,Array(0,0.00482,0.00964,0.0193,0.0385,0.0771,0.154,0.308,0.617,1.23),Array(0,362000,524000,718000,931000,1140000,1320000,1440000,1520000,1540000));</v>
      </c>
    </row>
    <row r="73" spans="1:19" x14ac:dyDescent="0.3">
      <c r="A73" s="15"/>
      <c r="B73" s="15" t="s">
        <v>39</v>
      </c>
      <c r="C73" s="25">
        <v>0</v>
      </c>
      <c r="D73" s="25">
        <v>4.8199999999999996E-3</v>
      </c>
      <c r="E73" s="25">
        <v>9.6399999999999993E-3</v>
      </c>
      <c r="F73" s="25">
        <v>1.9300000000000001E-2</v>
      </c>
      <c r="G73" s="25">
        <v>3.85E-2</v>
      </c>
      <c r="H73" s="25">
        <v>7.7100000000000002E-2</v>
      </c>
      <c r="I73" s="25">
        <v>0.154</v>
      </c>
      <c r="J73" s="25">
        <v>0.308</v>
      </c>
      <c r="K73" s="25">
        <v>0.61699999999999999</v>
      </c>
      <c r="L73" s="25">
        <v>1.23</v>
      </c>
      <c r="S73" s="25" t="str">
        <f t="shared" si="1"/>
        <v/>
      </c>
    </row>
    <row r="74" spans="1:19" x14ac:dyDescent="0.3">
      <c r="A74" s="15">
        <v>36</v>
      </c>
      <c r="B74" s="15" t="s">
        <v>44</v>
      </c>
      <c r="C74" s="25">
        <v>0</v>
      </c>
      <c r="D74" s="25">
        <v>364000</v>
      </c>
      <c r="E74" s="25">
        <v>529000</v>
      </c>
      <c r="F74" s="25">
        <v>728000</v>
      </c>
      <c r="G74" s="25">
        <v>947000</v>
      </c>
      <c r="H74" s="25">
        <v>1160000</v>
      </c>
      <c r="I74" s="25">
        <v>1340000</v>
      </c>
      <c r="J74" s="25">
        <v>1480000</v>
      </c>
      <c r="K74" s="25">
        <v>1550000</v>
      </c>
      <c r="L74" s="25">
        <v>1580000</v>
      </c>
      <c r="S74" s="25" t="str">
        <f t="shared" si="1"/>
        <v>SoilCurves36.addManualPY(8.75,Array(0,0.00477,0.00954,0.0191,0.0382,0.0763,0.153,0.305,0.611,1.22),Array(0,364000,529000,728000,947000,1160000,1340000,1480000,1550000,1580000));</v>
      </c>
    </row>
    <row r="75" spans="1:19" x14ac:dyDescent="0.3">
      <c r="A75" s="15"/>
      <c r="B75" s="15" t="s">
        <v>39</v>
      </c>
      <c r="C75" s="25">
        <v>0</v>
      </c>
      <c r="D75" s="25">
        <v>4.7699999999999999E-3</v>
      </c>
      <c r="E75" s="25">
        <v>9.5399999999999999E-3</v>
      </c>
      <c r="F75" s="25">
        <v>1.9099999999999999E-2</v>
      </c>
      <c r="G75" s="25">
        <v>3.8199999999999998E-2</v>
      </c>
      <c r="H75" s="25">
        <v>7.6300000000000007E-2</v>
      </c>
      <c r="I75" s="25">
        <v>0.153</v>
      </c>
      <c r="J75" s="25">
        <v>0.30499999999999999</v>
      </c>
      <c r="K75" s="25">
        <v>0.61099999999999999</v>
      </c>
      <c r="L75" s="25">
        <v>1.22</v>
      </c>
      <c r="S75" s="25" t="str">
        <f t="shared" si="1"/>
        <v/>
      </c>
    </row>
    <row r="76" spans="1:19" x14ac:dyDescent="0.3">
      <c r="A76" s="15">
        <v>37</v>
      </c>
      <c r="B76" s="15" t="s">
        <v>44</v>
      </c>
      <c r="C76" s="25">
        <v>0</v>
      </c>
      <c r="D76" s="25">
        <v>366000</v>
      </c>
      <c r="E76" s="25">
        <v>534000</v>
      </c>
      <c r="F76" s="25">
        <v>737000</v>
      </c>
      <c r="G76" s="25">
        <v>961000</v>
      </c>
      <c r="H76" s="25">
        <v>1180000</v>
      </c>
      <c r="I76" s="25">
        <v>1370000</v>
      </c>
      <c r="J76" s="25">
        <v>1510000</v>
      </c>
      <c r="K76" s="25">
        <v>1590000</v>
      </c>
      <c r="L76" s="25">
        <v>1610000</v>
      </c>
      <c r="S76" s="25" t="str">
        <f t="shared" si="1"/>
        <v>SoilCurves37.addManualPY(8.75,Array(0,0.00472,0.00945,0.0189,0.0378,0.0756,0.151,0.302,0.605,1.21),Array(0,366000,534000,737000,961000,1180000,1370000,1510000,1590000,1610000));</v>
      </c>
    </row>
    <row r="77" spans="1:19" x14ac:dyDescent="0.3">
      <c r="A77" s="15"/>
      <c r="B77" s="15" t="s">
        <v>39</v>
      </c>
      <c r="C77" s="25">
        <v>0</v>
      </c>
      <c r="D77" s="25">
        <v>4.7200000000000002E-3</v>
      </c>
      <c r="E77" s="25">
        <v>9.4500000000000001E-3</v>
      </c>
      <c r="F77" s="25">
        <v>1.89E-2</v>
      </c>
      <c r="G77" s="25">
        <v>3.78E-2</v>
      </c>
      <c r="H77" s="25">
        <v>7.5600000000000001E-2</v>
      </c>
      <c r="I77" s="25">
        <v>0.151</v>
      </c>
      <c r="J77" s="25">
        <v>0.30199999999999999</v>
      </c>
      <c r="K77" s="25">
        <v>0.60499999999999998</v>
      </c>
      <c r="L77" s="25">
        <v>1.21</v>
      </c>
      <c r="S77" s="25" t="str">
        <f t="shared" si="1"/>
        <v/>
      </c>
    </row>
    <row r="78" spans="1:19" x14ac:dyDescent="0.3">
      <c r="A78" s="15">
        <v>38</v>
      </c>
      <c r="B78" s="15" t="s">
        <v>44</v>
      </c>
      <c r="C78" s="25">
        <v>0</v>
      </c>
      <c r="D78" s="25">
        <v>368000</v>
      </c>
      <c r="E78" s="25">
        <v>538000</v>
      </c>
      <c r="F78" s="25">
        <v>746000</v>
      </c>
      <c r="G78" s="25">
        <v>975000</v>
      </c>
      <c r="H78" s="25">
        <v>1200000</v>
      </c>
      <c r="I78" s="25">
        <v>1400000</v>
      </c>
      <c r="J78" s="25">
        <v>1540000</v>
      </c>
      <c r="K78" s="25">
        <v>1620000</v>
      </c>
      <c r="L78" s="25">
        <v>1650000</v>
      </c>
      <c r="S78" s="25" t="str">
        <f t="shared" si="1"/>
        <v>SoilCurves38.addManualPY(8.75,Array(0,0.00468,0.00936,0.0187,0.0374,0.0749,0.15,0.3,0.599,1.2),Array(0,368000,538000,746000,975000,1200000,1400000,1540000,1620000,1650000));</v>
      </c>
    </row>
    <row r="79" spans="1:19" x14ac:dyDescent="0.3">
      <c r="A79" s="15"/>
      <c r="B79" s="15" t="s">
        <v>39</v>
      </c>
      <c r="C79" s="25">
        <v>0</v>
      </c>
      <c r="D79" s="25">
        <v>4.6800000000000001E-3</v>
      </c>
      <c r="E79" s="25">
        <v>9.3600000000000003E-3</v>
      </c>
      <c r="F79" s="25">
        <v>1.8700000000000001E-2</v>
      </c>
      <c r="G79" s="25">
        <v>3.7400000000000003E-2</v>
      </c>
      <c r="H79" s="25">
        <v>7.4899999999999994E-2</v>
      </c>
      <c r="I79" s="25">
        <v>0.15</v>
      </c>
      <c r="J79" s="25">
        <v>0.3</v>
      </c>
      <c r="K79" s="25">
        <v>0.59899999999999998</v>
      </c>
      <c r="L79" s="25">
        <v>1.2</v>
      </c>
      <c r="S79" s="25" t="str">
        <f t="shared" si="1"/>
        <v/>
      </c>
    </row>
    <row r="80" spans="1:19" x14ac:dyDescent="0.3">
      <c r="A80" s="15">
        <v>39</v>
      </c>
      <c r="B80" s="15" t="s">
        <v>44</v>
      </c>
      <c r="C80" s="25">
        <v>0</v>
      </c>
      <c r="D80" s="25">
        <v>368000</v>
      </c>
      <c r="E80" s="25">
        <v>542000</v>
      </c>
      <c r="F80" s="25">
        <v>753000</v>
      </c>
      <c r="G80" s="25">
        <v>988000</v>
      </c>
      <c r="H80" s="25">
        <v>1220000</v>
      </c>
      <c r="I80" s="25">
        <v>1420000</v>
      </c>
      <c r="J80" s="25">
        <v>1570000</v>
      </c>
      <c r="K80" s="25">
        <v>1660000</v>
      </c>
      <c r="L80" s="25">
        <v>1690000</v>
      </c>
      <c r="S80" s="25" t="str">
        <f t="shared" si="1"/>
        <v>SoilCurves39.addManualPY(8.75,Array(0,0.00464,0.00928,0.0186,0.0371,0.0742,0.148,0.297,0.594,1.19),Array(0,368000,542000,753000,988000,1220000,1420000,1570000,1660000,1690000));</v>
      </c>
    </row>
    <row r="81" spans="1:19" x14ac:dyDescent="0.3">
      <c r="A81" s="15"/>
      <c r="B81" s="15" t="s">
        <v>39</v>
      </c>
      <c r="C81" s="25">
        <v>0</v>
      </c>
      <c r="D81" s="25">
        <v>4.64E-3</v>
      </c>
      <c r="E81" s="25">
        <v>9.2800000000000001E-3</v>
      </c>
      <c r="F81" s="25">
        <v>1.8599999999999998E-2</v>
      </c>
      <c r="G81" s="25">
        <v>3.7100000000000001E-2</v>
      </c>
      <c r="H81" s="25">
        <v>7.4200000000000002E-2</v>
      </c>
      <c r="I81" s="25">
        <v>0.14799999999999999</v>
      </c>
      <c r="J81" s="25">
        <v>0.29699999999999999</v>
      </c>
      <c r="K81" s="25">
        <v>0.59399999999999997</v>
      </c>
      <c r="L81" s="25">
        <v>1.19</v>
      </c>
      <c r="S81" s="25" t="str">
        <f t="shared" si="1"/>
        <v/>
      </c>
    </row>
    <row r="82" spans="1:19" x14ac:dyDescent="0.3">
      <c r="A82" s="15">
        <v>40</v>
      </c>
      <c r="B82" s="15" t="s">
        <v>44</v>
      </c>
      <c r="C82" s="25">
        <v>0</v>
      </c>
      <c r="D82" s="25">
        <v>368000</v>
      </c>
      <c r="E82" s="25">
        <v>545000</v>
      </c>
      <c r="F82" s="25">
        <v>760000</v>
      </c>
      <c r="G82" s="25">
        <v>1000000</v>
      </c>
      <c r="H82" s="25">
        <v>1240000</v>
      </c>
      <c r="I82" s="25">
        <v>1450000</v>
      </c>
      <c r="J82" s="25">
        <v>1600000</v>
      </c>
      <c r="K82" s="25">
        <v>1690000</v>
      </c>
      <c r="L82" s="25">
        <v>1720000</v>
      </c>
      <c r="S82" s="25" t="str">
        <f t="shared" si="1"/>
        <v>SoilCurves40.addManualPY(8.75,Array(0,0.0046,0.0092,0.0184,0.0368,0.0736,0.147,0.294,0.589,1.18),Array(0,368000,545000,760000,1000000,1240000,1450000,1600000,1690000,1720000));</v>
      </c>
    </row>
    <row r="83" spans="1:19" x14ac:dyDescent="0.3">
      <c r="B83" s="15" t="s">
        <v>39</v>
      </c>
      <c r="C83" s="25">
        <v>0</v>
      </c>
      <c r="D83" s="25">
        <v>4.5999999999999999E-3</v>
      </c>
      <c r="E83" s="25">
        <v>9.1999999999999998E-3</v>
      </c>
      <c r="F83" s="25">
        <v>1.84E-2</v>
      </c>
      <c r="G83" s="25">
        <v>3.6799999999999999E-2</v>
      </c>
      <c r="H83" s="25">
        <v>7.3599999999999999E-2</v>
      </c>
      <c r="I83" s="25">
        <v>0.14699999999999999</v>
      </c>
      <c r="J83" s="25">
        <v>0.29399999999999998</v>
      </c>
      <c r="K83" s="25">
        <v>0.58899999999999997</v>
      </c>
      <c r="L83" s="25">
        <v>1.18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27DB4-695F-4A7B-A19F-14EF96274042}">
  <dimension ref="A1:V83"/>
  <sheetViews>
    <sheetView topLeftCell="L58" zoomScaleNormal="100" workbookViewId="0">
      <selection activeCell="S4" sqref="S4:S82"/>
    </sheetView>
  </sheetViews>
  <sheetFormatPr defaultRowHeight="14.4" x14ac:dyDescent="0.3"/>
  <cols>
    <col min="4" max="5" width="12" bestFit="1" customWidth="1"/>
    <col min="11" max="11" width="3.5546875" bestFit="1" customWidth="1"/>
    <col min="13" max="13" width="4.5546875" bestFit="1" customWidth="1"/>
    <col min="16" max="17" width="4.5546875" bestFit="1" customWidth="1"/>
    <col min="19" max="19" width="157.21875" bestFit="1" customWidth="1"/>
  </cols>
  <sheetData>
    <row r="1" spans="1:22" x14ac:dyDescent="0.3">
      <c r="A1" t="s">
        <v>33</v>
      </c>
      <c r="B1">
        <v>8.75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9"/>
      <c r="S1" s="19"/>
      <c r="T1" s="19"/>
      <c r="U1" s="19"/>
      <c r="V1" s="19"/>
    </row>
    <row r="2" spans="1:22" x14ac:dyDescent="0.3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9"/>
      <c r="S2" s="19"/>
      <c r="T2" s="19"/>
      <c r="U2" s="19"/>
      <c r="V2" s="19"/>
    </row>
    <row r="3" spans="1:22" x14ac:dyDescent="0.3">
      <c r="A3" s="15" t="s">
        <v>34</v>
      </c>
      <c r="B3" s="15" t="s">
        <v>35</v>
      </c>
      <c r="C3" s="16" t="s">
        <v>90</v>
      </c>
      <c r="D3" s="16" t="s">
        <v>91</v>
      </c>
      <c r="E3" s="16" t="s">
        <v>92</v>
      </c>
      <c r="F3" s="16" t="s">
        <v>93</v>
      </c>
      <c r="G3" s="16" t="s">
        <v>94</v>
      </c>
      <c r="H3" s="16" t="s">
        <v>95</v>
      </c>
      <c r="I3" s="16" t="s">
        <v>96</v>
      </c>
      <c r="J3" s="16" t="s">
        <v>97</v>
      </c>
      <c r="K3" s="16" t="s">
        <v>98</v>
      </c>
      <c r="L3" s="16" t="s">
        <v>99</v>
      </c>
      <c r="M3" s="16" t="s">
        <v>100</v>
      </c>
      <c r="N3" s="16" t="s">
        <v>101</v>
      </c>
      <c r="O3" s="16" t="s">
        <v>102</v>
      </c>
      <c r="P3" s="16" t="s">
        <v>103</v>
      </c>
      <c r="Q3" s="16" t="s">
        <v>104</v>
      </c>
      <c r="R3" s="17"/>
      <c r="S3" s="17"/>
      <c r="T3" s="17"/>
      <c r="U3" s="17"/>
      <c r="V3" s="17"/>
    </row>
    <row r="4" spans="1:22" x14ac:dyDescent="0.3">
      <c r="A4" s="15">
        <v>1</v>
      </c>
      <c r="B4" s="15" t="s">
        <v>36</v>
      </c>
      <c r="C4" s="24">
        <v>0</v>
      </c>
      <c r="D4" s="24">
        <v>252000</v>
      </c>
      <c r="E4" s="24">
        <v>262000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9"/>
      <c r="S4" s="19" t="str">
        <f>IF(B4="DM","SoilCurves"&amp;A4&amp;".addManualMomTheta("&amp;$B$1&amp;",Array("&amp;_xlfn.TEXTJOIN(",",TRUE,C5:Q5)&amp;"),Array("&amp;_xlfn.TEXTJOIN(",",TRUE,C4:Q4)&amp;"));","")</f>
        <v>SoilCurves1.addManualMomTheta(8.75,Array(0,0.107,0.859),Array(0,252000,262000));</v>
      </c>
      <c r="T4" s="19"/>
      <c r="U4" s="19"/>
      <c r="V4" s="19"/>
    </row>
    <row r="5" spans="1:22" x14ac:dyDescent="0.3">
      <c r="A5" s="15"/>
      <c r="B5" s="15" t="s">
        <v>37</v>
      </c>
      <c r="C5" s="24">
        <v>0</v>
      </c>
      <c r="D5" s="24">
        <v>0.107</v>
      </c>
      <c r="E5" s="24">
        <v>0.85899999999999999</v>
      </c>
      <c r="F5" s="17"/>
      <c r="G5" s="17"/>
      <c r="H5" s="17"/>
      <c r="I5" s="17"/>
      <c r="J5" s="17"/>
      <c r="K5" s="17"/>
      <c r="L5" s="17"/>
      <c r="M5" s="17"/>
      <c r="N5" s="17"/>
      <c r="O5" s="16"/>
      <c r="P5" s="16"/>
      <c r="Q5" s="16"/>
      <c r="R5" s="19"/>
      <c r="S5" s="19" t="str">
        <f t="shared" ref="S5:S68" si="0">IF(B5="DM","SoilCurves"&amp;A5&amp;".addManualMomTheta("&amp;$B$1&amp;",Array("&amp;_xlfn.TEXTJOIN(",",TRUE,C6:Q6)&amp;"),Array("&amp;_xlfn.TEXTJOIN(",",TRUE,C5:Q5)&amp;"));","")</f>
        <v/>
      </c>
      <c r="T5" s="17"/>
      <c r="U5" s="17"/>
      <c r="V5" s="17"/>
    </row>
    <row r="6" spans="1:22" x14ac:dyDescent="0.3">
      <c r="A6" s="15">
        <v>2</v>
      </c>
      <c r="B6" s="15" t="s">
        <v>36</v>
      </c>
      <c r="C6" s="24">
        <v>0</v>
      </c>
      <c r="D6" s="24">
        <v>334000</v>
      </c>
      <c r="E6" s="24">
        <v>344000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9"/>
      <c r="S6" s="19" t="str">
        <f t="shared" si="0"/>
        <v>SoilCurves2.addManualMomTheta(8.75,Array(0,0.0479,0.383),Array(0,334000,344000));</v>
      </c>
      <c r="T6" s="17"/>
      <c r="U6" s="17"/>
      <c r="V6" s="17"/>
    </row>
    <row r="7" spans="1:22" x14ac:dyDescent="0.3">
      <c r="A7" s="15"/>
      <c r="B7" s="15" t="s">
        <v>37</v>
      </c>
      <c r="C7" s="24">
        <v>0</v>
      </c>
      <c r="D7" s="24">
        <v>4.7899999999999998E-2</v>
      </c>
      <c r="E7" s="24">
        <v>0.38300000000000001</v>
      </c>
      <c r="F7" s="17"/>
      <c r="G7" s="17"/>
      <c r="H7" s="17"/>
      <c r="I7" s="17"/>
      <c r="J7" s="17"/>
      <c r="K7" s="17"/>
      <c r="L7" s="17"/>
      <c r="M7" s="17"/>
      <c r="N7" s="17"/>
      <c r="O7" s="18"/>
      <c r="P7" s="18"/>
      <c r="Q7" s="18"/>
      <c r="R7" s="19"/>
      <c r="S7" s="19" t="str">
        <f t="shared" si="0"/>
        <v/>
      </c>
      <c r="T7" s="19"/>
      <c r="U7" s="19"/>
      <c r="V7" s="19"/>
    </row>
    <row r="8" spans="1:22" x14ac:dyDescent="0.3">
      <c r="A8" s="15">
        <v>3</v>
      </c>
      <c r="B8" s="15" t="s">
        <v>36</v>
      </c>
      <c r="C8" s="24">
        <v>0</v>
      </c>
      <c r="D8" s="24">
        <v>414000</v>
      </c>
      <c r="E8" s="24">
        <v>424000</v>
      </c>
      <c r="F8" s="16"/>
      <c r="G8" s="16"/>
      <c r="H8" s="16"/>
      <c r="I8" s="16"/>
      <c r="J8" s="16"/>
      <c r="K8" s="16"/>
      <c r="L8" s="16"/>
      <c r="M8" s="16"/>
      <c r="N8" s="16"/>
      <c r="O8" s="18"/>
      <c r="P8" s="18"/>
      <c r="Q8" s="18"/>
      <c r="R8" s="19"/>
      <c r="S8" s="19" t="str">
        <f t="shared" si="0"/>
        <v>SoilCurves3.addManualMomTheta(8.75,Array(0,0.036,0.288),Array(0,414000,424000));</v>
      </c>
      <c r="T8" s="19"/>
      <c r="U8" s="19"/>
      <c r="V8" s="19"/>
    </row>
    <row r="9" spans="1:22" x14ac:dyDescent="0.3">
      <c r="A9" s="15"/>
      <c r="B9" s="15" t="s">
        <v>37</v>
      </c>
      <c r="C9" s="24">
        <v>0</v>
      </c>
      <c r="D9" s="24">
        <v>3.5999999999999997E-2</v>
      </c>
      <c r="E9" s="24">
        <v>0.28799999999999998</v>
      </c>
      <c r="F9" s="17"/>
      <c r="G9" s="17"/>
      <c r="H9" s="17"/>
      <c r="I9" s="17"/>
      <c r="J9" s="17"/>
      <c r="K9" s="17"/>
      <c r="L9" s="17"/>
      <c r="M9" s="17"/>
      <c r="N9" s="17"/>
      <c r="O9" s="18"/>
      <c r="P9" s="18"/>
      <c r="Q9" s="18"/>
      <c r="R9" s="19"/>
      <c r="S9" s="19" t="str">
        <f t="shared" si="0"/>
        <v/>
      </c>
      <c r="T9" s="19"/>
      <c r="U9" s="19"/>
      <c r="V9" s="19"/>
    </row>
    <row r="10" spans="1:22" x14ac:dyDescent="0.3">
      <c r="A10" s="15">
        <v>4</v>
      </c>
      <c r="B10" s="15" t="s">
        <v>36</v>
      </c>
      <c r="C10" s="24">
        <v>0</v>
      </c>
      <c r="D10" s="24">
        <v>492000</v>
      </c>
      <c r="E10" s="24">
        <v>502000</v>
      </c>
      <c r="F10" s="16"/>
      <c r="G10" s="16"/>
      <c r="H10" s="16"/>
      <c r="I10" s="16"/>
      <c r="J10" s="16"/>
      <c r="K10" s="16"/>
      <c r="L10" s="16"/>
      <c r="M10" s="16"/>
      <c r="N10" s="16"/>
      <c r="O10" s="18"/>
      <c r="P10" s="18"/>
      <c r="Q10" s="18"/>
      <c r="R10" s="19"/>
      <c r="S10" s="19" t="str">
        <f t="shared" si="0"/>
        <v>SoilCurves4.addManualMomTheta(8.75,Array(0,0.0308,0.247),Array(0,492000,502000));</v>
      </c>
      <c r="T10" s="19"/>
      <c r="U10" s="19"/>
      <c r="V10" s="19"/>
    </row>
    <row r="11" spans="1:22" x14ac:dyDescent="0.3">
      <c r="A11" s="15"/>
      <c r="B11" s="15" t="s">
        <v>37</v>
      </c>
      <c r="C11" s="24">
        <v>0</v>
      </c>
      <c r="D11" s="24">
        <v>3.0800000000000001E-2</v>
      </c>
      <c r="E11" s="24">
        <v>0.247</v>
      </c>
      <c r="F11" s="17"/>
      <c r="G11" s="17"/>
      <c r="H11" s="17"/>
      <c r="I11" s="17"/>
      <c r="J11" s="17"/>
      <c r="K11" s="17"/>
      <c r="L11" s="17"/>
      <c r="M11" s="17"/>
      <c r="N11" s="17"/>
      <c r="O11" s="18"/>
      <c r="P11" s="18"/>
      <c r="Q11" s="18"/>
      <c r="R11" s="19"/>
      <c r="S11" s="19" t="str">
        <f t="shared" si="0"/>
        <v/>
      </c>
      <c r="T11" s="19"/>
      <c r="U11" s="19"/>
      <c r="V11" s="19"/>
    </row>
    <row r="12" spans="1:22" x14ac:dyDescent="0.3">
      <c r="A12" s="15">
        <v>5</v>
      </c>
      <c r="B12" s="15" t="s">
        <v>36</v>
      </c>
      <c r="C12" s="25">
        <v>0</v>
      </c>
      <c r="D12" s="25">
        <v>568000</v>
      </c>
      <c r="E12" s="25">
        <v>578000</v>
      </c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9"/>
      <c r="S12" s="19" t="str">
        <f t="shared" si="0"/>
        <v>SoilCurves5.addManualMomTheta(8.75,Array(0,0.0279,0.224),Array(0,568000,578000));</v>
      </c>
      <c r="T12" s="19"/>
      <c r="U12" s="19"/>
      <c r="V12" s="19"/>
    </row>
    <row r="13" spans="1:22" x14ac:dyDescent="0.3">
      <c r="A13" s="15"/>
      <c r="B13" s="15" t="s">
        <v>37</v>
      </c>
      <c r="C13" s="25">
        <v>0</v>
      </c>
      <c r="D13" s="25">
        <v>2.7900000000000001E-2</v>
      </c>
      <c r="E13" s="25">
        <v>0.224</v>
      </c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9"/>
      <c r="S13" s="19" t="str">
        <f t="shared" si="0"/>
        <v/>
      </c>
      <c r="T13" s="19"/>
      <c r="U13" s="19"/>
      <c r="V13" s="19"/>
    </row>
    <row r="14" spans="1:22" x14ac:dyDescent="0.3">
      <c r="A14" s="15">
        <v>6</v>
      </c>
      <c r="B14" s="15" t="s">
        <v>36</v>
      </c>
      <c r="C14" s="25">
        <v>0</v>
      </c>
      <c r="D14" s="25">
        <v>642000</v>
      </c>
      <c r="E14" s="25">
        <v>652000</v>
      </c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9"/>
      <c r="S14" s="19" t="str">
        <f t="shared" si="0"/>
        <v>SoilCurves6.addManualMomTheta(8.75,Array(0,0.0261,0.209),Array(0,642000,652000));</v>
      </c>
      <c r="T14" s="19"/>
      <c r="U14" s="19"/>
      <c r="V14" s="19"/>
    </row>
    <row r="15" spans="1:22" x14ac:dyDescent="0.3">
      <c r="A15" s="15"/>
      <c r="B15" s="15" t="s">
        <v>37</v>
      </c>
      <c r="C15" s="25">
        <v>0</v>
      </c>
      <c r="D15" s="25">
        <v>2.6100000000000002E-2</v>
      </c>
      <c r="E15" s="25">
        <v>0.20899999999999999</v>
      </c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9"/>
      <c r="S15" s="19" t="str">
        <f t="shared" si="0"/>
        <v/>
      </c>
      <c r="T15" s="19"/>
      <c r="U15" s="19"/>
      <c r="V15" s="19"/>
    </row>
    <row r="16" spans="1:22" x14ac:dyDescent="0.3">
      <c r="A16" s="15">
        <v>7</v>
      </c>
      <c r="B16" s="15" t="s">
        <v>36</v>
      </c>
      <c r="C16" s="25">
        <v>0</v>
      </c>
      <c r="D16" s="25">
        <v>713000</v>
      </c>
      <c r="E16" s="25">
        <v>723000</v>
      </c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9"/>
      <c r="S16" s="19" t="str">
        <f t="shared" si="0"/>
        <v>SoilCurves7.addManualMomTheta(8.75,Array(0,0.0248,0.198),Array(0,713000,723000));</v>
      </c>
      <c r="T16" s="19"/>
      <c r="U16" s="19"/>
      <c r="V16" s="19"/>
    </row>
    <row r="17" spans="1:22" x14ac:dyDescent="0.3">
      <c r="A17" s="15"/>
      <c r="B17" s="15" t="s">
        <v>37</v>
      </c>
      <c r="C17" s="25">
        <v>0</v>
      </c>
      <c r="D17" s="25">
        <v>2.4799999999999999E-2</v>
      </c>
      <c r="E17" s="25">
        <v>0.19800000000000001</v>
      </c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9"/>
      <c r="S17" s="19" t="str">
        <f t="shared" si="0"/>
        <v/>
      </c>
      <c r="T17" s="19"/>
      <c r="U17" s="19"/>
      <c r="V17" s="19"/>
    </row>
    <row r="18" spans="1:22" x14ac:dyDescent="0.3">
      <c r="A18" s="15">
        <v>8</v>
      </c>
      <c r="B18" s="15" t="s">
        <v>36</v>
      </c>
      <c r="C18" s="25">
        <v>0</v>
      </c>
      <c r="D18" s="25">
        <v>783000</v>
      </c>
      <c r="E18" s="25">
        <v>793000</v>
      </c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9"/>
      <c r="S18" s="19" t="str">
        <f t="shared" si="0"/>
        <v>SoilCurves8.addManualMomTheta(8.75,Array(0,0.0238,0.191),Array(0,783000,793000));</v>
      </c>
      <c r="T18" s="19"/>
      <c r="U18" s="19"/>
      <c r="V18" s="19"/>
    </row>
    <row r="19" spans="1:22" x14ac:dyDescent="0.3">
      <c r="A19" s="15"/>
      <c r="B19" s="15" t="s">
        <v>37</v>
      </c>
      <c r="C19" s="25">
        <v>0</v>
      </c>
      <c r="D19" s="25">
        <v>2.3800000000000002E-2</v>
      </c>
      <c r="E19" s="25">
        <v>0.191</v>
      </c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9"/>
      <c r="S19" s="19" t="str">
        <f t="shared" si="0"/>
        <v/>
      </c>
      <c r="T19" s="19"/>
      <c r="U19" s="19"/>
      <c r="V19" s="19"/>
    </row>
    <row r="20" spans="1:22" x14ac:dyDescent="0.3">
      <c r="A20" s="15">
        <v>9</v>
      </c>
      <c r="B20" s="15" t="s">
        <v>36</v>
      </c>
      <c r="C20" s="25">
        <v>0</v>
      </c>
      <c r="D20" s="25">
        <v>851000</v>
      </c>
      <c r="E20" s="25">
        <v>861000</v>
      </c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9"/>
      <c r="S20" s="19" t="str">
        <f t="shared" si="0"/>
        <v>SoilCurves9.addManualMomTheta(8.75,Array(0,0.0231,0.185),Array(0,851000,861000));</v>
      </c>
      <c r="T20" s="19"/>
      <c r="U20" s="19"/>
      <c r="V20" s="19"/>
    </row>
    <row r="21" spans="1:22" x14ac:dyDescent="0.3">
      <c r="A21" s="15"/>
      <c r="B21" s="15" t="s">
        <v>37</v>
      </c>
      <c r="C21" s="25">
        <v>0</v>
      </c>
      <c r="D21" s="25">
        <v>2.3099999999999999E-2</v>
      </c>
      <c r="E21" s="25">
        <v>0.185</v>
      </c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9"/>
      <c r="S21" s="19" t="str">
        <f t="shared" si="0"/>
        <v/>
      </c>
      <c r="T21" s="19"/>
      <c r="U21" s="19"/>
      <c r="V21" s="19"/>
    </row>
    <row r="22" spans="1:22" x14ac:dyDescent="0.3">
      <c r="A22" s="15">
        <v>10</v>
      </c>
      <c r="B22" s="15" t="s">
        <v>36</v>
      </c>
      <c r="C22" s="25">
        <v>0</v>
      </c>
      <c r="D22" s="25">
        <v>917000</v>
      </c>
      <c r="E22" s="25">
        <v>927000</v>
      </c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9"/>
      <c r="S22" s="19" t="str">
        <f t="shared" si="0"/>
        <v>SoilCurves10.addManualMomTheta(8.75,Array(0,0.0225,0.18),Array(0,917000,927000));</v>
      </c>
      <c r="T22" s="19"/>
      <c r="U22" s="19"/>
      <c r="V22" s="19"/>
    </row>
    <row r="23" spans="1:22" x14ac:dyDescent="0.3">
      <c r="A23" s="15"/>
      <c r="B23" s="15" t="s">
        <v>37</v>
      </c>
      <c r="C23" s="25">
        <v>0</v>
      </c>
      <c r="D23" s="25">
        <v>2.2499999999999999E-2</v>
      </c>
      <c r="E23" s="25">
        <v>0.18</v>
      </c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9"/>
      <c r="S23" s="19" t="str">
        <f t="shared" si="0"/>
        <v/>
      </c>
      <c r="T23" s="19"/>
      <c r="U23" s="19"/>
      <c r="V23" s="19"/>
    </row>
    <row r="24" spans="1:22" x14ac:dyDescent="0.3">
      <c r="A24" s="15">
        <v>11</v>
      </c>
      <c r="B24" s="15" t="s">
        <v>36</v>
      </c>
      <c r="C24" s="25">
        <v>0</v>
      </c>
      <c r="D24" s="25">
        <v>981000</v>
      </c>
      <c r="E24" s="25">
        <v>991000</v>
      </c>
      <c r="S24" s="19" t="str">
        <f t="shared" si="0"/>
        <v>SoilCurves11.addManualMomTheta(8.75,Array(0,0.022,0.176),Array(0,981000,991000));</v>
      </c>
    </row>
    <row r="25" spans="1:22" x14ac:dyDescent="0.3">
      <c r="A25" s="15"/>
      <c r="B25" s="15" t="s">
        <v>37</v>
      </c>
      <c r="C25" s="25">
        <v>0</v>
      </c>
      <c r="D25" s="25">
        <v>2.1999999999999999E-2</v>
      </c>
      <c r="E25" s="25">
        <v>0.17599999999999999</v>
      </c>
      <c r="S25" s="19" t="str">
        <f t="shared" si="0"/>
        <v/>
      </c>
    </row>
    <row r="26" spans="1:22" x14ac:dyDescent="0.3">
      <c r="A26" s="15">
        <v>12</v>
      </c>
      <c r="B26" s="15" t="s">
        <v>36</v>
      </c>
      <c r="C26" s="25">
        <v>0</v>
      </c>
      <c r="D26" s="25">
        <v>1040000</v>
      </c>
      <c r="E26" s="25">
        <v>1050000</v>
      </c>
      <c r="S26" s="19" t="str">
        <f t="shared" si="0"/>
        <v>SoilCurves12.addManualMomTheta(8.75,Array(0,0.0215,0.172),Array(0,1040000,1050000));</v>
      </c>
    </row>
    <row r="27" spans="1:22" x14ac:dyDescent="0.3">
      <c r="A27" s="15"/>
      <c r="B27" s="15" t="s">
        <v>37</v>
      </c>
      <c r="C27" s="25">
        <v>0</v>
      </c>
      <c r="D27" s="25">
        <v>2.1499999999999998E-2</v>
      </c>
      <c r="E27" s="25">
        <v>0.17199999999999999</v>
      </c>
      <c r="S27" s="19" t="str">
        <f t="shared" si="0"/>
        <v/>
      </c>
    </row>
    <row r="28" spans="1:22" x14ac:dyDescent="0.3">
      <c r="A28" s="15">
        <v>13</v>
      </c>
      <c r="B28" s="15" t="s">
        <v>36</v>
      </c>
      <c r="C28" s="25">
        <v>0</v>
      </c>
      <c r="D28" s="25">
        <v>1100000</v>
      </c>
      <c r="E28" s="25">
        <v>1110000</v>
      </c>
      <c r="S28" s="19" t="str">
        <f t="shared" si="0"/>
        <v>SoilCurves13.addManualMomTheta(8.75,Array(0,0.0212,0.169),Array(0,1100000,1110000));</v>
      </c>
    </row>
    <row r="29" spans="1:22" x14ac:dyDescent="0.3">
      <c r="A29" s="15"/>
      <c r="B29" s="15" t="s">
        <v>37</v>
      </c>
      <c r="C29" s="25">
        <v>0</v>
      </c>
      <c r="D29" s="25">
        <v>2.12E-2</v>
      </c>
      <c r="E29" s="25">
        <v>0.16900000000000001</v>
      </c>
      <c r="S29" s="19" t="str">
        <f t="shared" si="0"/>
        <v/>
      </c>
    </row>
    <row r="30" spans="1:22" x14ac:dyDescent="0.3">
      <c r="A30" s="15">
        <v>14</v>
      </c>
      <c r="B30" s="15" t="s">
        <v>36</v>
      </c>
      <c r="C30" s="25">
        <v>0</v>
      </c>
      <c r="D30" s="25">
        <v>1160000</v>
      </c>
      <c r="E30" s="25">
        <v>1170000</v>
      </c>
      <c r="S30" s="19" t="str">
        <f t="shared" si="0"/>
        <v>SoilCurves14.addManualMomTheta(8.75,Array(0,0.0209,0.167),Array(0,1160000,1170000));</v>
      </c>
    </row>
    <row r="31" spans="1:22" x14ac:dyDescent="0.3">
      <c r="A31" s="15"/>
      <c r="B31" s="15" t="s">
        <v>37</v>
      </c>
      <c r="C31" s="25">
        <v>0</v>
      </c>
      <c r="D31" s="25">
        <v>2.0899999999999998E-2</v>
      </c>
      <c r="E31" s="25">
        <v>0.16700000000000001</v>
      </c>
      <c r="S31" s="19" t="str">
        <f t="shared" si="0"/>
        <v/>
      </c>
    </row>
    <row r="32" spans="1:22" x14ac:dyDescent="0.3">
      <c r="A32" s="15">
        <v>15</v>
      </c>
      <c r="B32" s="15" t="s">
        <v>36</v>
      </c>
      <c r="C32" s="25">
        <v>0</v>
      </c>
      <c r="D32" s="25">
        <v>1220000</v>
      </c>
      <c r="E32" s="25">
        <v>1230000</v>
      </c>
      <c r="S32" s="19" t="str">
        <f t="shared" si="0"/>
        <v>SoilCurves15.addManualMomTheta(8.75,Array(0,0.0206,0.165),Array(0,1220000,1230000));</v>
      </c>
    </row>
    <row r="33" spans="1:19" x14ac:dyDescent="0.3">
      <c r="A33" s="15"/>
      <c r="B33" s="15" t="s">
        <v>37</v>
      </c>
      <c r="C33" s="25">
        <v>0</v>
      </c>
      <c r="D33" s="25">
        <v>2.06E-2</v>
      </c>
      <c r="E33" s="25">
        <v>0.16500000000000001</v>
      </c>
      <c r="S33" s="19" t="str">
        <f t="shared" si="0"/>
        <v/>
      </c>
    </row>
    <row r="34" spans="1:19" x14ac:dyDescent="0.3">
      <c r="A34" s="15">
        <v>16</v>
      </c>
      <c r="B34" s="15" t="s">
        <v>36</v>
      </c>
      <c r="C34" s="25">
        <v>0</v>
      </c>
      <c r="D34" s="25">
        <v>1270000</v>
      </c>
      <c r="E34" s="25">
        <v>1280000</v>
      </c>
      <c r="S34" s="19" t="str">
        <f t="shared" si="0"/>
        <v>SoilCurves16.addManualMomTheta(8.75,Array(0,0.0203,0.162),Array(0,1270000,1280000));</v>
      </c>
    </row>
    <row r="35" spans="1:19" x14ac:dyDescent="0.3">
      <c r="A35" s="15"/>
      <c r="B35" s="15" t="s">
        <v>37</v>
      </c>
      <c r="C35" s="25">
        <v>0</v>
      </c>
      <c r="D35" s="25">
        <v>2.0299999999999999E-2</v>
      </c>
      <c r="E35" s="25">
        <v>0.16200000000000001</v>
      </c>
      <c r="S35" s="19" t="str">
        <f t="shared" si="0"/>
        <v/>
      </c>
    </row>
    <row r="36" spans="1:19" x14ac:dyDescent="0.3">
      <c r="A36" s="15">
        <v>17</v>
      </c>
      <c r="B36" s="15" t="s">
        <v>36</v>
      </c>
      <c r="C36" s="25">
        <v>0</v>
      </c>
      <c r="D36" s="25">
        <v>1320000</v>
      </c>
      <c r="E36" s="25">
        <v>1330000</v>
      </c>
      <c r="S36" s="19" t="str">
        <f t="shared" si="0"/>
        <v>SoilCurves17.addManualMomTheta(8.75,Array(0,0.0201,0.161),Array(0,1320000,1330000));</v>
      </c>
    </row>
    <row r="37" spans="1:19" x14ac:dyDescent="0.3">
      <c r="A37" s="15"/>
      <c r="B37" s="15" t="s">
        <v>37</v>
      </c>
      <c r="C37" s="25">
        <v>0</v>
      </c>
      <c r="D37" s="25">
        <v>2.01E-2</v>
      </c>
      <c r="E37" s="25">
        <v>0.161</v>
      </c>
      <c r="S37" s="19" t="str">
        <f t="shared" si="0"/>
        <v/>
      </c>
    </row>
    <row r="38" spans="1:19" x14ac:dyDescent="0.3">
      <c r="A38" s="15">
        <v>18</v>
      </c>
      <c r="B38" s="15" t="s">
        <v>36</v>
      </c>
      <c r="C38" s="25">
        <v>0</v>
      </c>
      <c r="D38" s="25">
        <v>1370000</v>
      </c>
      <c r="E38" s="25">
        <v>1380000</v>
      </c>
      <c r="S38" s="19" t="str">
        <f t="shared" si="0"/>
        <v>SoilCurves18.addManualMomTheta(8.75,Array(0,0.0199,0.159),Array(0,1370000,1380000));</v>
      </c>
    </row>
    <row r="39" spans="1:19" x14ac:dyDescent="0.3">
      <c r="A39" s="15"/>
      <c r="B39" s="15" t="s">
        <v>37</v>
      </c>
      <c r="C39" s="25">
        <v>0</v>
      </c>
      <c r="D39" s="25">
        <v>1.9900000000000001E-2</v>
      </c>
      <c r="E39" s="25">
        <v>0.159</v>
      </c>
      <c r="S39" s="19" t="str">
        <f t="shared" si="0"/>
        <v/>
      </c>
    </row>
    <row r="40" spans="1:19" x14ac:dyDescent="0.3">
      <c r="A40" s="15">
        <v>19</v>
      </c>
      <c r="B40" s="15" t="s">
        <v>36</v>
      </c>
      <c r="C40" s="25">
        <v>0</v>
      </c>
      <c r="D40" s="25">
        <v>1420000</v>
      </c>
      <c r="E40" s="25">
        <v>1430000</v>
      </c>
      <c r="S40" s="19" t="str">
        <f t="shared" si="0"/>
        <v>SoilCurves19.addManualMomTheta(8.75,Array(0,0.0197,0.157),Array(0,1420000,1430000));</v>
      </c>
    </row>
    <row r="41" spans="1:19" x14ac:dyDescent="0.3">
      <c r="A41" s="15"/>
      <c r="B41" s="15" t="s">
        <v>37</v>
      </c>
      <c r="C41" s="25">
        <v>0</v>
      </c>
      <c r="D41" s="25">
        <v>1.9699999999999999E-2</v>
      </c>
      <c r="E41" s="25">
        <v>0.157</v>
      </c>
      <c r="S41" s="19" t="str">
        <f t="shared" si="0"/>
        <v/>
      </c>
    </row>
    <row r="42" spans="1:19" x14ac:dyDescent="0.3">
      <c r="A42" s="15">
        <v>20</v>
      </c>
      <c r="B42" s="15" t="s">
        <v>36</v>
      </c>
      <c r="C42" s="25">
        <v>0</v>
      </c>
      <c r="D42" s="25">
        <v>1460000</v>
      </c>
      <c r="E42" s="25">
        <v>1470000</v>
      </c>
      <c r="S42" s="19" t="str">
        <f t="shared" si="0"/>
        <v>SoilCurves20.addManualMomTheta(8.75,Array(0,0.0195,0.156),Array(0,1460000,1470000));</v>
      </c>
    </row>
    <row r="43" spans="1:19" x14ac:dyDescent="0.3">
      <c r="A43" s="15"/>
      <c r="B43" s="15" t="s">
        <v>37</v>
      </c>
      <c r="C43" s="25">
        <v>0</v>
      </c>
      <c r="D43" s="25">
        <v>1.95E-2</v>
      </c>
      <c r="E43" s="25">
        <v>0.156</v>
      </c>
      <c r="S43" s="19" t="str">
        <f t="shared" si="0"/>
        <v/>
      </c>
    </row>
    <row r="44" spans="1:19" x14ac:dyDescent="0.3">
      <c r="A44" s="15">
        <v>21</v>
      </c>
      <c r="B44" s="15" t="s">
        <v>36</v>
      </c>
      <c r="C44" s="25">
        <v>0</v>
      </c>
      <c r="D44" s="25">
        <v>2180000</v>
      </c>
      <c r="E44" s="25">
        <v>2190000</v>
      </c>
      <c r="S44" s="19" t="str">
        <f t="shared" si="0"/>
        <v>SoilCurves21.addManualMomTheta(8.75,Array(0,0.00642,0.0513),Array(0,2180000,2190000));</v>
      </c>
    </row>
    <row r="45" spans="1:19" x14ac:dyDescent="0.3">
      <c r="A45" s="15"/>
      <c r="B45" s="15" t="s">
        <v>37</v>
      </c>
      <c r="C45" s="25">
        <v>0</v>
      </c>
      <c r="D45" s="25">
        <v>6.4200000000000004E-3</v>
      </c>
      <c r="E45" s="25">
        <v>5.1299999999999998E-2</v>
      </c>
      <c r="S45" s="19" t="str">
        <f t="shared" si="0"/>
        <v/>
      </c>
    </row>
    <row r="46" spans="1:19" x14ac:dyDescent="0.3">
      <c r="A46" s="15">
        <v>22</v>
      </c>
      <c r="B46" s="15" t="s">
        <v>36</v>
      </c>
      <c r="C46" s="25">
        <v>0</v>
      </c>
      <c r="D46" s="25">
        <v>2160000</v>
      </c>
      <c r="E46" s="25">
        <v>2170000</v>
      </c>
      <c r="S46" s="19" t="str">
        <f t="shared" si="0"/>
        <v>SoilCurves22.addManualMomTheta(8.75,Array(0,0.00619,0.0495),Array(0,2160000,2170000));</v>
      </c>
    </row>
    <row r="47" spans="1:19" x14ac:dyDescent="0.3">
      <c r="A47" s="15"/>
      <c r="B47" s="15" t="s">
        <v>37</v>
      </c>
      <c r="C47" s="25">
        <v>0</v>
      </c>
      <c r="D47" s="25">
        <v>6.1900000000000002E-3</v>
      </c>
      <c r="E47" s="25">
        <v>4.9500000000000002E-2</v>
      </c>
      <c r="S47" s="19" t="str">
        <f t="shared" si="0"/>
        <v/>
      </c>
    </row>
    <row r="48" spans="1:19" x14ac:dyDescent="0.3">
      <c r="A48" s="15">
        <v>23</v>
      </c>
      <c r="B48" s="15" t="s">
        <v>36</v>
      </c>
      <c r="C48" s="25">
        <v>0</v>
      </c>
      <c r="D48" s="25">
        <v>2150000</v>
      </c>
      <c r="E48" s="25">
        <v>2160000</v>
      </c>
      <c r="S48" s="19" t="str">
        <f t="shared" si="0"/>
        <v>SoilCurves23.addManualMomTheta(8.75,Array(0,0.00596,0.0477),Array(0,2150000,2160000));</v>
      </c>
    </row>
    <row r="49" spans="1:19" x14ac:dyDescent="0.3">
      <c r="A49" s="15"/>
      <c r="B49" s="15" t="s">
        <v>37</v>
      </c>
      <c r="C49" s="25">
        <v>0</v>
      </c>
      <c r="D49" s="25">
        <v>5.96E-3</v>
      </c>
      <c r="E49" s="25">
        <v>4.7699999999999999E-2</v>
      </c>
      <c r="S49" s="19" t="str">
        <f t="shared" si="0"/>
        <v/>
      </c>
    </row>
    <row r="50" spans="1:19" x14ac:dyDescent="0.3">
      <c r="A50" s="15">
        <v>24</v>
      </c>
      <c r="B50" s="15" t="s">
        <v>36</v>
      </c>
      <c r="C50" s="25">
        <v>0</v>
      </c>
      <c r="D50" s="25">
        <v>2130000</v>
      </c>
      <c r="E50" s="25">
        <v>2140000</v>
      </c>
      <c r="S50" s="19" t="str">
        <f t="shared" si="0"/>
        <v>SoilCurves24.addManualMomTheta(8.75,Array(0,0.00579,0.0461),Array(0,2130000,2140000));</v>
      </c>
    </row>
    <row r="51" spans="1:19" x14ac:dyDescent="0.3">
      <c r="A51" s="15"/>
      <c r="B51" s="15" t="s">
        <v>37</v>
      </c>
      <c r="C51" s="25">
        <v>0</v>
      </c>
      <c r="D51" s="25">
        <v>5.79E-3</v>
      </c>
      <c r="E51" s="25">
        <v>4.6100000000000002E-2</v>
      </c>
      <c r="S51" s="19" t="str">
        <f t="shared" si="0"/>
        <v/>
      </c>
    </row>
    <row r="52" spans="1:19" x14ac:dyDescent="0.3">
      <c r="A52" s="15">
        <v>25</v>
      </c>
      <c r="B52" s="15" t="s">
        <v>36</v>
      </c>
      <c r="C52" s="25">
        <v>0</v>
      </c>
      <c r="D52" s="25">
        <v>2110000</v>
      </c>
      <c r="E52" s="25">
        <v>2120000</v>
      </c>
      <c r="S52" s="19" t="str">
        <f t="shared" si="0"/>
        <v>SoilCurves25.addManualMomTheta(8.75,Array(0,0.00556,0.0444),Array(0,2110000,2120000));</v>
      </c>
    </row>
    <row r="53" spans="1:19" x14ac:dyDescent="0.3">
      <c r="A53" s="15"/>
      <c r="B53" s="15" t="s">
        <v>37</v>
      </c>
      <c r="C53" s="25">
        <v>0</v>
      </c>
      <c r="D53" s="25">
        <v>5.5599999999999998E-3</v>
      </c>
      <c r="E53" s="25">
        <v>4.4400000000000002E-2</v>
      </c>
      <c r="S53" s="19" t="str">
        <f t="shared" si="0"/>
        <v/>
      </c>
    </row>
    <row r="54" spans="1:19" x14ac:dyDescent="0.3">
      <c r="A54" s="15">
        <v>26</v>
      </c>
      <c r="B54" s="15" t="s">
        <v>36</v>
      </c>
      <c r="C54" s="25">
        <v>0</v>
      </c>
      <c r="D54" s="25">
        <v>2080000</v>
      </c>
      <c r="E54" s="25">
        <v>2090000</v>
      </c>
      <c r="S54" s="19" t="str">
        <f t="shared" si="0"/>
        <v>SoilCurves26.addManualMomTheta(8.75,Array(0,0.00536,0.0429),Array(0,2080000,2090000));</v>
      </c>
    </row>
    <row r="55" spans="1:19" x14ac:dyDescent="0.3">
      <c r="A55" s="15"/>
      <c r="B55" s="15" t="s">
        <v>37</v>
      </c>
      <c r="C55" s="25">
        <v>0</v>
      </c>
      <c r="D55" s="25">
        <v>5.3600000000000002E-3</v>
      </c>
      <c r="E55" s="25">
        <v>4.2900000000000001E-2</v>
      </c>
      <c r="S55" s="19" t="str">
        <f t="shared" si="0"/>
        <v/>
      </c>
    </row>
    <row r="56" spans="1:19" x14ac:dyDescent="0.3">
      <c r="A56" s="15">
        <v>27</v>
      </c>
      <c r="B56" s="15" t="s">
        <v>36</v>
      </c>
      <c r="C56" s="25">
        <v>0</v>
      </c>
      <c r="D56" s="25">
        <v>2060000</v>
      </c>
      <c r="E56" s="25">
        <v>2070000</v>
      </c>
      <c r="S56" s="19" t="str">
        <f t="shared" si="0"/>
        <v>SoilCurves27.addManualMomTheta(8.75,Array(0,0.00518,0.0414),Array(0,2060000,2070000));</v>
      </c>
    </row>
    <row r="57" spans="1:19" x14ac:dyDescent="0.3">
      <c r="A57" s="15"/>
      <c r="B57" s="15" t="s">
        <v>37</v>
      </c>
      <c r="C57" s="25">
        <v>0</v>
      </c>
      <c r="D57" s="25">
        <v>5.1799999999999997E-3</v>
      </c>
      <c r="E57" s="25">
        <v>4.1399999999999999E-2</v>
      </c>
      <c r="S57" s="19" t="str">
        <f t="shared" si="0"/>
        <v/>
      </c>
    </row>
    <row r="58" spans="1:19" x14ac:dyDescent="0.3">
      <c r="A58" s="15">
        <v>28</v>
      </c>
      <c r="B58" s="15" t="s">
        <v>36</v>
      </c>
      <c r="C58" s="25">
        <v>0</v>
      </c>
      <c r="D58" s="25">
        <v>2030000</v>
      </c>
      <c r="E58" s="25">
        <v>2040000</v>
      </c>
      <c r="S58" s="19" t="str">
        <f t="shared" si="0"/>
        <v>SoilCurves28.addManualMomTheta(8.75,Array(0,0.00499,0.04),Array(0,2030000,2040000));</v>
      </c>
    </row>
    <row r="59" spans="1:19" x14ac:dyDescent="0.3">
      <c r="A59" s="15"/>
      <c r="B59" s="15" t="s">
        <v>37</v>
      </c>
      <c r="C59" s="25">
        <v>0</v>
      </c>
      <c r="D59" s="25">
        <v>4.9899999999999996E-3</v>
      </c>
      <c r="E59" s="25">
        <v>0.04</v>
      </c>
      <c r="S59" s="19" t="str">
        <f t="shared" si="0"/>
        <v/>
      </c>
    </row>
    <row r="60" spans="1:19" x14ac:dyDescent="0.3">
      <c r="A60" s="15">
        <v>29</v>
      </c>
      <c r="B60" s="15" t="s">
        <v>36</v>
      </c>
      <c r="C60" s="25">
        <v>0</v>
      </c>
      <c r="D60" s="25">
        <v>2000000</v>
      </c>
      <c r="E60" s="25">
        <v>2010000</v>
      </c>
      <c r="S60" s="19" t="str">
        <f t="shared" si="0"/>
        <v>SoilCurves29.addManualMomTheta(8.75,Array(0,0.00482,0.0386),Array(0,2000000,2010000));</v>
      </c>
    </row>
    <row r="61" spans="1:19" x14ac:dyDescent="0.3">
      <c r="A61" s="15"/>
      <c r="B61" s="15" t="s">
        <v>37</v>
      </c>
      <c r="C61" s="25">
        <v>0</v>
      </c>
      <c r="D61" s="25">
        <v>4.8199999999999996E-3</v>
      </c>
      <c r="E61" s="25">
        <v>3.8600000000000002E-2</v>
      </c>
      <c r="S61" s="19" t="str">
        <f t="shared" si="0"/>
        <v/>
      </c>
    </row>
    <row r="62" spans="1:19" x14ac:dyDescent="0.3">
      <c r="A62" s="15">
        <v>30</v>
      </c>
      <c r="B62" s="15" t="s">
        <v>36</v>
      </c>
      <c r="C62" s="25">
        <v>0</v>
      </c>
      <c r="D62" s="25">
        <v>1970000</v>
      </c>
      <c r="E62" s="25">
        <v>1980000</v>
      </c>
      <c r="S62" s="19" t="str">
        <f t="shared" si="0"/>
        <v>SoilCurves30.addManualMomTheta(8.75,Array(0,0.00465,0.0372),Array(0,1970000,1980000));</v>
      </c>
    </row>
    <row r="63" spans="1:19" x14ac:dyDescent="0.3">
      <c r="A63" s="15"/>
      <c r="B63" s="15" t="s">
        <v>37</v>
      </c>
      <c r="C63" s="25">
        <v>0</v>
      </c>
      <c r="D63" s="25">
        <v>4.6499999999999996E-3</v>
      </c>
      <c r="E63" s="25">
        <v>3.7199999999999997E-2</v>
      </c>
      <c r="S63" s="19" t="str">
        <f t="shared" si="0"/>
        <v/>
      </c>
    </row>
    <row r="64" spans="1:19" x14ac:dyDescent="0.3">
      <c r="A64" s="15">
        <v>31</v>
      </c>
      <c r="B64" s="15" t="s">
        <v>36</v>
      </c>
      <c r="C64" s="25">
        <v>0</v>
      </c>
      <c r="D64" s="25">
        <v>1940000</v>
      </c>
      <c r="E64" s="25">
        <v>1950000</v>
      </c>
      <c r="S64" s="19" t="str">
        <f t="shared" si="0"/>
        <v>SoilCurves31.addManualMomTheta(8.75,Array(0,0.00448,0.0359),Array(0,1940000,1950000));</v>
      </c>
    </row>
    <row r="65" spans="1:19" x14ac:dyDescent="0.3">
      <c r="A65" s="15"/>
      <c r="B65" s="15" t="s">
        <v>37</v>
      </c>
      <c r="C65" s="25">
        <v>0</v>
      </c>
      <c r="D65" s="25">
        <v>4.4799999999999996E-3</v>
      </c>
      <c r="E65" s="25">
        <v>3.5900000000000001E-2</v>
      </c>
      <c r="S65" s="19" t="str">
        <f t="shared" si="0"/>
        <v/>
      </c>
    </row>
    <row r="66" spans="1:19" x14ac:dyDescent="0.3">
      <c r="A66" s="15">
        <v>32</v>
      </c>
      <c r="B66" s="15" t="s">
        <v>36</v>
      </c>
      <c r="C66" s="25">
        <v>0</v>
      </c>
      <c r="D66" s="25">
        <v>1910000</v>
      </c>
      <c r="E66" s="25">
        <v>1920000</v>
      </c>
      <c r="S66" s="19" t="str">
        <f t="shared" si="0"/>
        <v>SoilCurves32.addManualMomTheta(8.75,Array(0,0.00432,0.0346),Array(0,1910000,1920000));</v>
      </c>
    </row>
    <row r="67" spans="1:19" x14ac:dyDescent="0.3">
      <c r="A67" s="15"/>
      <c r="B67" s="15" t="s">
        <v>37</v>
      </c>
      <c r="C67" s="25">
        <v>0</v>
      </c>
      <c r="D67" s="25">
        <v>4.3200000000000001E-3</v>
      </c>
      <c r="E67" s="25">
        <v>3.4599999999999999E-2</v>
      </c>
      <c r="S67" s="19" t="str">
        <f t="shared" si="0"/>
        <v/>
      </c>
    </row>
    <row r="68" spans="1:19" x14ac:dyDescent="0.3">
      <c r="A68" s="15">
        <v>33</v>
      </c>
      <c r="B68" s="15" t="s">
        <v>36</v>
      </c>
      <c r="C68" s="25">
        <v>0</v>
      </c>
      <c r="D68" s="25">
        <v>1870000</v>
      </c>
      <c r="E68" s="25">
        <v>1880000</v>
      </c>
      <c r="S68" s="19" t="str">
        <f t="shared" si="0"/>
        <v>SoilCurves33.addManualMomTheta(8.75,Array(0,0.00416,0.0333),Array(0,1870000,1880000));</v>
      </c>
    </row>
    <row r="69" spans="1:19" x14ac:dyDescent="0.3">
      <c r="A69" s="15"/>
      <c r="B69" s="15" t="s">
        <v>37</v>
      </c>
      <c r="C69" s="25">
        <v>0</v>
      </c>
      <c r="D69" s="25">
        <v>4.1599999999999996E-3</v>
      </c>
      <c r="E69" s="25">
        <v>3.3300000000000003E-2</v>
      </c>
      <c r="S69" s="19" t="str">
        <f t="shared" ref="S69:S83" si="1">IF(B69="DM","SoilCurves"&amp;A69&amp;".addManualMomTheta("&amp;$B$1&amp;",Array("&amp;_xlfn.TEXTJOIN(",",TRUE,C70:Q70)&amp;"),Array("&amp;_xlfn.TEXTJOIN(",",TRUE,C69:Q69)&amp;"));","")</f>
        <v/>
      </c>
    </row>
    <row r="70" spans="1:19" x14ac:dyDescent="0.3">
      <c r="A70" s="15">
        <v>34</v>
      </c>
      <c r="B70" s="15" t="s">
        <v>36</v>
      </c>
      <c r="C70" s="25">
        <v>0</v>
      </c>
      <c r="D70" s="25">
        <v>1830000</v>
      </c>
      <c r="E70" s="25">
        <v>1840000</v>
      </c>
      <c r="S70" s="19" t="str">
        <f t="shared" si="1"/>
        <v>SoilCurves34.addManualMomTheta(8.75,Array(0,0.004,0.032),Array(0,1830000,1840000));</v>
      </c>
    </row>
    <row r="71" spans="1:19" x14ac:dyDescent="0.3">
      <c r="A71" s="15"/>
      <c r="B71" s="15" t="s">
        <v>37</v>
      </c>
      <c r="C71" s="25">
        <v>0</v>
      </c>
      <c r="D71" s="25">
        <v>4.0000000000000001E-3</v>
      </c>
      <c r="E71" s="25">
        <v>3.2000000000000001E-2</v>
      </c>
      <c r="S71" s="19" t="str">
        <f t="shared" si="1"/>
        <v/>
      </c>
    </row>
    <row r="72" spans="1:19" x14ac:dyDescent="0.3">
      <c r="A72" s="15">
        <v>35</v>
      </c>
      <c r="B72" s="15" t="s">
        <v>36</v>
      </c>
      <c r="C72" s="25">
        <v>0</v>
      </c>
      <c r="D72" s="25">
        <v>1790000</v>
      </c>
      <c r="E72" s="25">
        <v>1800000</v>
      </c>
      <c r="S72" s="19" t="str">
        <f t="shared" si="1"/>
        <v>SoilCurves35.addManualMomTheta(8.75,Array(0,0.00385,0.0308),Array(0,1790000,1800000));</v>
      </c>
    </row>
    <row r="73" spans="1:19" x14ac:dyDescent="0.3">
      <c r="A73" s="15"/>
      <c r="B73" s="15" t="s">
        <v>37</v>
      </c>
      <c r="C73" s="25">
        <v>0</v>
      </c>
      <c r="D73" s="25">
        <v>3.8500000000000001E-3</v>
      </c>
      <c r="E73" s="25">
        <v>3.0800000000000001E-2</v>
      </c>
      <c r="S73" s="19" t="str">
        <f t="shared" si="1"/>
        <v/>
      </c>
    </row>
    <row r="74" spans="1:19" x14ac:dyDescent="0.3">
      <c r="A74" s="15">
        <v>36</v>
      </c>
      <c r="B74" s="15" t="s">
        <v>36</v>
      </c>
      <c r="C74" s="25">
        <v>0</v>
      </c>
      <c r="D74" s="25">
        <v>1750000</v>
      </c>
      <c r="E74" s="25">
        <v>1760000</v>
      </c>
      <c r="S74" s="19" t="str">
        <f t="shared" si="1"/>
        <v>SoilCurves36.addManualMomTheta(8.75,Array(0,0.0037,0.0296),Array(0,1750000,1760000));</v>
      </c>
    </row>
    <row r="75" spans="1:19" x14ac:dyDescent="0.3">
      <c r="A75" s="15"/>
      <c r="B75" s="15" t="s">
        <v>37</v>
      </c>
      <c r="C75" s="25">
        <v>0</v>
      </c>
      <c r="D75" s="25">
        <v>3.7000000000000002E-3</v>
      </c>
      <c r="E75" s="25">
        <v>2.9600000000000001E-2</v>
      </c>
      <c r="S75" s="19" t="str">
        <f t="shared" si="1"/>
        <v/>
      </c>
    </row>
    <row r="76" spans="1:19" x14ac:dyDescent="0.3">
      <c r="A76" s="15">
        <v>37</v>
      </c>
      <c r="B76" s="15" t="s">
        <v>36</v>
      </c>
      <c r="C76" s="25">
        <v>0</v>
      </c>
      <c r="D76" s="25">
        <v>1700000</v>
      </c>
      <c r="E76" s="25">
        <v>1710000</v>
      </c>
      <c r="S76" s="19" t="str">
        <f t="shared" si="1"/>
        <v>SoilCurves37.addManualMomTheta(8.75,Array(0,0.00355,0.0284),Array(0,1700000,1710000));</v>
      </c>
    </row>
    <row r="77" spans="1:19" x14ac:dyDescent="0.3">
      <c r="A77" s="15"/>
      <c r="B77" s="15" t="s">
        <v>37</v>
      </c>
      <c r="C77" s="25">
        <v>0</v>
      </c>
      <c r="D77" s="25">
        <v>3.5500000000000002E-3</v>
      </c>
      <c r="E77" s="25">
        <v>2.8400000000000002E-2</v>
      </c>
      <c r="S77" s="19" t="str">
        <f t="shared" si="1"/>
        <v/>
      </c>
    </row>
    <row r="78" spans="1:19" x14ac:dyDescent="0.3">
      <c r="A78" s="15">
        <v>38</v>
      </c>
      <c r="B78" s="15" t="s">
        <v>36</v>
      </c>
      <c r="C78" s="25">
        <v>0</v>
      </c>
      <c r="D78" s="25">
        <v>1650000</v>
      </c>
      <c r="E78" s="25">
        <v>1660000</v>
      </c>
      <c r="S78" s="19" t="str">
        <f t="shared" si="1"/>
        <v>SoilCurves38.addManualMomTheta(8.75,Array(0,0.0034,0.0272),Array(0,1650000,1660000));</v>
      </c>
    </row>
    <row r="79" spans="1:19" x14ac:dyDescent="0.3">
      <c r="A79" s="15"/>
      <c r="B79" s="15" t="s">
        <v>37</v>
      </c>
      <c r="C79" s="25">
        <v>0</v>
      </c>
      <c r="D79" s="25">
        <v>3.3999999999999998E-3</v>
      </c>
      <c r="E79" s="25">
        <v>2.7199999999999998E-2</v>
      </c>
      <c r="S79" s="19" t="str">
        <f t="shared" si="1"/>
        <v/>
      </c>
    </row>
    <row r="80" spans="1:19" x14ac:dyDescent="0.3">
      <c r="A80" s="15">
        <v>39</v>
      </c>
      <c r="B80" s="15" t="s">
        <v>36</v>
      </c>
      <c r="C80" s="25">
        <v>0</v>
      </c>
      <c r="D80" s="25">
        <v>1610000</v>
      </c>
      <c r="E80" s="25">
        <v>1620000</v>
      </c>
      <c r="S80" s="19" t="str">
        <f t="shared" si="1"/>
        <v>SoilCurves39.addManualMomTheta(8.75,Array(0,0.00326,0.0261),Array(0,1610000,1620000));</v>
      </c>
    </row>
    <row r="81" spans="1:19" x14ac:dyDescent="0.3">
      <c r="A81" s="15"/>
      <c r="B81" s="15" t="s">
        <v>37</v>
      </c>
      <c r="C81" s="25">
        <v>0</v>
      </c>
      <c r="D81" s="25">
        <v>3.2599999999999999E-3</v>
      </c>
      <c r="E81" s="25">
        <v>2.6100000000000002E-2</v>
      </c>
      <c r="S81" s="19" t="str">
        <f t="shared" si="1"/>
        <v/>
      </c>
    </row>
    <row r="82" spans="1:19" x14ac:dyDescent="0.3">
      <c r="A82" s="15">
        <v>40</v>
      </c>
      <c r="B82" s="15" t="s">
        <v>36</v>
      </c>
      <c r="C82" s="25">
        <v>0</v>
      </c>
      <c r="D82" s="25">
        <v>1550000</v>
      </c>
      <c r="E82" s="25">
        <v>1560000</v>
      </c>
      <c r="S82" s="19" t="str">
        <f t="shared" si="1"/>
        <v>SoilCurves40.addManualMomTheta(8.75,Array(0,0.00311,0.0249),Array(0,1550000,1560000));</v>
      </c>
    </row>
    <row r="83" spans="1:19" x14ac:dyDescent="0.3">
      <c r="A83" s="15"/>
      <c r="B83" s="15" t="s">
        <v>37</v>
      </c>
      <c r="C83" s="25">
        <v>0</v>
      </c>
      <c r="D83" s="25">
        <v>3.1099999999999999E-3</v>
      </c>
      <c r="E83" s="25">
        <v>2.4899999999999999E-2</v>
      </c>
      <c r="S83" s="19" t="str">
        <f t="shared" si="1"/>
        <v/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41B12-D461-4DBC-96CE-A9E92A8F0771}">
  <dimension ref="A1:V14"/>
  <sheetViews>
    <sheetView workbookViewId="0">
      <selection activeCell="S4" sqref="S4:S8"/>
    </sheetView>
  </sheetViews>
  <sheetFormatPr defaultRowHeight="14.4" x14ac:dyDescent="0.3"/>
  <cols>
    <col min="1" max="1" width="14.109375" customWidth="1"/>
    <col min="4" max="12" width="11.5546875" bestFit="1" customWidth="1"/>
    <col min="19" max="19" width="102.33203125" bestFit="1" customWidth="1"/>
  </cols>
  <sheetData>
    <row r="1" spans="1:22" x14ac:dyDescent="0.3">
      <c r="A1" t="s">
        <v>33</v>
      </c>
      <c r="B1">
        <v>8.75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9"/>
      <c r="S1" s="19"/>
      <c r="T1" s="19"/>
      <c r="U1" s="19"/>
      <c r="V1" s="19"/>
    </row>
    <row r="2" spans="1:22" x14ac:dyDescent="0.3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9"/>
      <c r="S2" s="19"/>
      <c r="T2" s="19"/>
      <c r="U2" s="19"/>
      <c r="V2" s="19"/>
    </row>
    <row r="3" spans="1:22" x14ac:dyDescent="0.3">
      <c r="A3" s="15" t="s">
        <v>34</v>
      </c>
      <c r="B3" s="15" t="s">
        <v>35</v>
      </c>
      <c r="C3" s="16" t="s">
        <v>90</v>
      </c>
      <c r="D3" s="16" t="s">
        <v>91</v>
      </c>
      <c r="E3" s="16" t="s">
        <v>92</v>
      </c>
      <c r="F3" s="16" t="s">
        <v>93</v>
      </c>
      <c r="G3" s="16" t="s">
        <v>94</v>
      </c>
      <c r="H3" s="16" t="s">
        <v>95</v>
      </c>
      <c r="I3" s="16" t="s">
        <v>96</v>
      </c>
      <c r="J3" s="16" t="s">
        <v>97</v>
      </c>
      <c r="K3" s="16" t="s">
        <v>98</v>
      </c>
      <c r="L3" s="16" t="s">
        <v>99</v>
      </c>
      <c r="M3" s="16" t="s">
        <v>100</v>
      </c>
      <c r="N3" s="16" t="s">
        <v>101</v>
      </c>
      <c r="O3" s="16" t="s">
        <v>102</v>
      </c>
      <c r="P3" s="16" t="s">
        <v>103</v>
      </c>
      <c r="Q3" s="16" t="s">
        <v>104</v>
      </c>
      <c r="R3" s="17"/>
      <c r="S3" s="17"/>
      <c r="T3" s="17"/>
      <c r="U3" s="17"/>
      <c r="V3" s="17"/>
    </row>
    <row r="4" spans="1:22" x14ac:dyDescent="0.3">
      <c r="A4" s="15">
        <v>40</v>
      </c>
      <c r="B4" s="15" t="s">
        <v>38</v>
      </c>
      <c r="C4" s="24">
        <v>0</v>
      </c>
      <c r="D4" s="24">
        <v>4590000</v>
      </c>
      <c r="E4" s="24">
        <v>5870000</v>
      </c>
      <c r="F4" s="24">
        <v>7030000</v>
      </c>
      <c r="G4" s="24">
        <v>7930000</v>
      </c>
      <c r="H4" s="24">
        <v>8530000</v>
      </c>
      <c r="I4" s="24">
        <v>8900000</v>
      </c>
      <c r="J4" s="24">
        <v>9090000</v>
      </c>
      <c r="K4" s="24">
        <v>9190000</v>
      </c>
      <c r="L4" s="24">
        <v>9210000</v>
      </c>
      <c r="M4" s="24"/>
      <c r="N4" s="24"/>
      <c r="O4" s="24"/>
      <c r="P4" s="24"/>
      <c r="Q4" s="24"/>
      <c r="R4" s="19"/>
      <c r="S4" s="19" t="str">
        <f>IF(B4="BS","SoilCurves"&amp;A4&amp;".addManualBaseShear("&amp;$B$1&amp;",Array("&amp;_xlfn.TEXTJOIN(",",TRUE,C5:Q5)&amp;"),Array("&amp;_xlfn.TEXTJOIN(",",TRUE,C4:Q4)&amp;"));",IF(B4="BM","SoilCurves"&amp;A4&amp;".addManualBaseMoment("&amp;$B$1&amp;",Array("&amp;_xlfn.TEXTJOIN(",",TRUE,C5:Q5)&amp;"),Array("&amp;_xlfn.TEXTJOIN(",",TRUE,C4:Q4)&amp;"));",""))</f>
        <v>SoilCurves40.addManualBaseShear(8.75,Array(0,0.00447,0.00894,0.0179,0.0358,0.0715,0.143,0.286,0.572,1.14),Array(0,4590000,5870000,7030000,7930000,8530000,8900000,9090000,9190000,9210000));</v>
      </c>
      <c r="T4" s="19"/>
      <c r="U4" s="19"/>
      <c r="V4" s="19"/>
    </row>
    <row r="5" spans="1:22" x14ac:dyDescent="0.3">
      <c r="A5" s="15"/>
      <c r="B5" s="15" t="s">
        <v>39</v>
      </c>
      <c r="C5" s="24">
        <v>0</v>
      </c>
      <c r="D5" s="24">
        <v>4.47E-3</v>
      </c>
      <c r="E5" s="24">
        <v>8.94E-3</v>
      </c>
      <c r="F5" s="24">
        <v>1.7899999999999999E-2</v>
      </c>
      <c r="G5" s="24">
        <v>3.5799999999999998E-2</v>
      </c>
      <c r="H5" s="24">
        <v>7.1499999999999994E-2</v>
      </c>
      <c r="I5" s="24">
        <v>0.14299999999999999</v>
      </c>
      <c r="J5" s="24">
        <v>0.28599999999999998</v>
      </c>
      <c r="K5" s="24">
        <v>0.57199999999999995</v>
      </c>
      <c r="L5" s="24">
        <v>1.1399999999999999</v>
      </c>
      <c r="M5" s="24"/>
      <c r="N5" s="24"/>
      <c r="O5" s="24"/>
      <c r="P5" s="24"/>
      <c r="Q5" s="24"/>
      <c r="R5" s="19"/>
      <c r="S5" s="19" t="str">
        <f>IF(B5="BS","SoilCurves"&amp;A5&amp;".addManualBaseShear("&amp;$B$1&amp;",Array("&amp;_xlfn.TEXTJOIN(",",TRUE,C8:Q8)&amp;"),Array("&amp;_xlfn.TEXTJOIN(",",TRUE,C5:Q5)&amp;"));",IF(B5="BM","SoilCurves"&amp;A5&amp;".addManualBaseMoment("&amp;$B$1&amp;",Array("&amp;_xlfn.TEXTJOIN(",",TRUE,C8:Q8)&amp;"),Array("&amp;_xlfn.TEXTJOIN(",",TRUE,C5:Q5)&amp;"));",""))</f>
        <v/>
      </c>
      <c r="T5" s="17"/>
      <c r="U5" s="17"/>
      <c r="V5" s="17"/>
    </row>
    <row r="6" spans="1:22" x14ac:dyDescent="0.3">
      <c r="A6" s="15"/>
      <c r="B6" s="15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19"/>
      <c r="S6" s="19"/>
      <c r="T6" s="17"/>
      <c r="U6" s="17"/>
      <c r="V6" s="17"/>
    </row>
    <row r="7" spans="1:22" x14ac:dyDescent="0.3">
      <c r="A7" s="15"/>
      <c r="B7" s="15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19"/>
      <c r="S7" s="19"/>
      <c r="T7" s="17"/>
      <c r="U7" s="17"/>
      <c r="V7" s="17"/>
    </row>
    <row r="8" spans="1:22" x14ac:dyDescent="0.3">
      <c r="A8" s="15">
        <v>40</v>
      </c>
      <c r="B8" s="15" t="s">
        <v>40</v>
      </c>
      <c r="C8" s="24">
        <v>0</v>
      </c>
      <c r="D8" s="24">
        <v>13100000</v>
      </c>
      <c r="E8" s="24">
        <v>20700000</v>
      </c>
      <c r="F8" s="24">
        <v>30200000</v>
      </c>
      <c r="G8" s="24">
        <v>40300000</v>
      </c>
      <c r="H8" s="24">
        <v>49500000</v>
      </c>
      <c r="I8" s="24">
        <v>56500000</v>
      </c>
      <c r="J8" s="24">
        <v>61100000</v>
      </c>
      <c r="K8" s="24">
        <v>63600000</v>
      </c>
      <c r="L8" s="24">
        <v>64300000</v>
      </c>
      <c r="M8" s="24"/>
      <c r="N8" s="24"/>
      <c r="O8" s="24"/>
      <c r="P8" s="24"/>
      <c r="Q8" s="24"/>
      <c r="R8" s="19"/>
      <c r="S8" s="19" t="str">
        <f t="shared" ref="S8:S9" si="0">IF(B8="BS","SoilCurves"&amp;A8&amp;".addManualBaseShear("&amp;$B$1&amp;",Array("&amp;_xlfn.TEXTJOIN(",",TRUE,C9:Q9)&amp;"),Array("&amp;_xlfn.TEXTJOIN(",",TRUE,C8:Q8)&amp;"));",IF(B8="BM","SoilCurves"&amp;A8&amp;".addManualBaseMoment("&amp;$B$1&amp;",Array("&amp;_xlfn.TEXTJOIN(",",TRUE,C9:Q9)&amp;"),Array("&amp;_xlfn.TEXTJOIN(",",TRUE,C8:Q8)&amp;"));",""))</f>
        <v>SoilCurves40.addManualBaseMoment(8.75,Array(0,0.0215,0.043,0.0859,0.172,0.344,0.688,1.38,2.75,5.5),Array(0,13100000,20700000,30200000,40300000,49500000,56500000,61100000,63600000,64300000));</v>
      </c>
      <c r="T8" s="17"/>
      <c r="U8" s="17"/>
      <c r="V8" s="17"/>
    </row>
    <row r="9" spans="1:22" x14ac:dyDescent="0.3">
      <c r="A9" s="15"/>
      <c r="B9" s="15" t="s">
        <v>37</v>
      </c>
      <c r="C9" s="24">
        <v>0</v>
      </c>
      <c r="D9" s="24">
        <v>2.1499999999999998E-2</v>
      </c>
      <c r="E9" s="24">
        <v>4.2999999999999997E-2</v>
      </c>
      <c r="F9" s="24">
        <v>8.5900000000000004E-2</v>
      </c>
      <c r="G9" s="24">
        <v>0.17199999999999999</v>
      </c>
      <c r="H9" s="24">
        <v>0.34399999999999997</v>
      </c>
      <c r="I9" s="24">
        <v>0.68799999999999994</v>
      </c>
      <c r="J9" s="24">
        <v>1.38</v>
      </c>
      <c r="K9" s="24">
        <v>2.75</v>
      </c>
      <c r="L9" s="24">
        <v>5.5</v>
      </c>
      <c r="M9" s="24"/>
      <c r="N9" s="24"/>
      <c r="O9" s="25"/>
      <c r="P9" s="25"/>
      <c r="Q9" s="25"/>
      <c r="R9" s="19"/>
      <c r="S9" s="19" t="str">
        <f t="shared" si="0"/>
        <v/>
      </c>
      <c r="T9" s="19"/>
      <c r="U9" s="19"/>
      <c r="V9" s="19"/>
    </row>
    <row r="10" spans="1:22" x14ac:dyDescent="0.3">
      <c r="A10" s="15"/>
      <c r="B10" s="15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8"/>
      <c r="P10" s="18"/>
      <c r="Q10" s="18"/>
      <c r="R10" s="19"/>
      <c r="S10" s="19"/>
      <c r="T10" s="19"/>
      <c r="U10" s="19"/>
      <c r="V10" s="19"/>
    </row>
    <row r="11" spans="1:22" x14ac:dyDescent="0.3">
      <c r="A11" s="15"/>
      <c r="B11" s="15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8"/>
      <c r="P11" s="18"/>
      <c r="Q11" s="18"/>
      <c r="R11" s="19"/>
      <c r="S11" s="19"/>
      <c r="T11" s="19"/>
      <c r="U11" s="19"/>
      <c r="V11" s="19"/>
    </row>
    <row r="12" spans="1:22" x14ac:dyDescent="0.3">
      <c r="A12" s="15"/>
      <c r="B12" s="15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8"/>
      <c r="P12" s="18"/>
      <c r="Q12" s="18"/>
      <c r="R12" s="19"/>
      <c r="S12" s="19"/>
      <c r="T12" s="19"/>
      <c r="U12" s="19"/>
      <c r="V12" s="19"/>
    </row>
    <row r="13" spans="1:22" x14ac:dyDescent="0.3">
      <c r="A13" s="15"/>
      <c r="B13" s="15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8"/>
      <c r="P13" s="18"/>
      <c r="Q13" s="18"/>
      <c r="R13" s="19"/>
      <c r="S13" s="19"/>
      <c r="T13" s="19"/>
      <c r="U13" s="19"/>
      <c r="V13" s="19"/>
    </row>
    <row r="14" spans="1:22" x14ac:dyDescent="0.3"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9"/>
      <c r="S14" s="19"/>
      <c r="T14" s="19"/>
      <c r="U14" s="19"/>
      <c r="V14" s="19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B6CAA-684F-41A6-B19B-1AC14FA4A65A}">
  <dimension ref="A1:F41"/>
  <sheetViews>
    <sheetView tabSelected="1" topLeftCell="A16" workbookViewId="0">
      <selection activeCell="B2" sqref="B2:F41"/>
    </sheetView>
  </sheetViews>
  <sheetFormatPr defaultRowHeight="14.4" x14ac:dyDescent="0.3"/>
  <cols>
    <col min="1" max="1" width="8.88671875" style="15"/>
    <col min="2" max="2" width="8.5546875" style="15" bestFit="1" customWidth="1"/>
    <col min="3" max="3" width="7.77734375" style="15" bestFit="1" customWidth="1"/>
    <col min="4" max="4" width="11.33203125" style="15" bestFit="1" customWidth="1"/>
    <col min="5" max="5" width="8.77734375" style="15" bestFit="1" customWidth="1"/>
    <col min="6" max="6" width="8.6640625" style="15" bestFit="1" customWidth="1"/>
  </cols>
  <sheetData>
    <row r="1" spans="1:6" x14ac:dyDescent="0.3">
      <c r="A1" s="15" t="s">
        <v>89</v>
      </c>
      <c r="B1" s="15" t="s">
        <v>45</v>
      </c>
      <c r="C1" s="15" t="s">
        <v>0</v>
      </c>
      <c r="D1" s="15" t="s">
        <v>46</v>
      </c>
      <c r="E1" s="15" t="s">
        <v>47</v>
      </c>
      <c r="F1" s="15" t="s">
        <v>48</v>
      </c>
    </row>
    <row r="2" spans="1:6" x14ac:dyDescent="0.3">
      <c r="A2" s="15">
        <v>1</v>
      </c>
      <c r="B2" s="15">
        <f>-0.875*A2</f>
        <v>-0.875</v>
      </c>
      <c r="C2" s="15" t="s">
        <v>13</v>
      </c>
      <c r="D2" s="15" t="s">
        <v>49</v>
      </c>
      <c r="E2" s="15" t="s">
        <v>24</v>
      </c>
      <c r="F2" s="15">
        <v>1</v>
      </c>
    </row>
    <row r="3" spans="1:6" x14ac:dyDescent="0.3">
      <c r="A3" s="15">
        <v>2</v>
      </c>
      <c r="B3" s="15">
        <f t="shared" ref="B3:B41" si="0">-0.875*A3</f>
        <v>-1.75</v>
      </c>
      <c r="C3" s="15" t="s">
        <v>13</v>
      </c>
      <c r="D3" s="15" t="s">
        <v>50</v>
      </c>
      <c r="E3" s="15" t="s">
        <v>24</v>
      </c>
      <c r="F3" s="15">
        <v>1</v>
      </c>
    </row>
    <row r="4" spans="1:6" x14ac:dyDescent="0.3">
      <c r="A4" s="15">
        <v>3</v>
      </c>
      <c r="B4" s="15">
        <f t="shared" si="0"/>
        <v>-2.625</v>
      </c>
      <c r="C4" s="15" t="s">
        <v>13</v>
      </c>
      <c r="D4" s="15" t="s">
        <v>51</v>
      </c>
      <c r="E4" s="15" t="s">
        <v>24</v>
      </c>
      <c r="F4" s="15">
        <v>1</v>
      </c>
    </row>
    <row r="5" spans="1:6" x14ac:dyDescent="0.3">
      <c r="A5" s="15">
        <v>4</v>
      </c>
      <c r="B5" s="15">
        <f t="shared" si="0"/>
        <v>-3.5</v>
      </c>
      <c r="C5" s="15" t="s">
        <v>13</v>
      </c>
      <c r="D5" s="15" t="s">
        <v>52</v>
      </c>
      <c r="E5" s="15" t="s">
        <v>24</v>
      </c>
      <c r="F5" s="15">
        <v>1</v>
      </c>
    </row>
    <row r="6" spans="1:6" x14ac:dyDescent="0.3">
      <c r="A6" s="15">
        <v>5</v>
      </c>
      <c r="B6" s="15">
        <f t="shared" si="0"/>
        <v>-4.375</v>
      </c>
      <c r="C6" s="15" t="s">
        <v>13</v>
      </c>
      <c r="D6" s="15" t="s">
        <v>53</v>
      </c>
      <c r="E6" s="15" t="s">
        <v>24</v>
      </c>
      <c r="F6" s="15">
        <v>1</v>
      </c>
    </row>
    <row r="7" spans="1:6" x14ac:dyDescent="0.3">
      <c r="A7" s="15">
        <v>6</v>
      </c>
      <c r="B7" s="15">
        <f t="shared" si="0"/>
        <v>-5.25</v>
      </c>
      <c r="C7" s="15" t="s">
        <v>13</v>
      </c>
      <c r="D7" s="15" t="s">
        <v>54</v>
      </c>
      <c r="E7" s="15" t="s">
        <v>24</v>
      </c>
      <c r="F7" s="15">
        <v>1</v>
      </c>
    </row>
    <row r="8" spans="1:6" x14ac:dyDescent="0.3">
      <c r="A8" s="15">
        <v>7</v>
      </c>
      <c r="B8" s="15">
        <f t="shared" si="0"/>
        <v>-6.125</v>
      </c>
      <c r="C8" s="15" t="s">
        <v>13</v>
      </c>
      <c r="D8" s="15" t="s">
        <v>55</v>
      </c>
      <c r="E8" s="15" t="s">
        <v>24</v>
      </c>
      <c r="F8" s="15">
        <v>1</v>
      </c>
    </row>
    <row r="9" spans="1:6" x14ac:dyDescent="0.3">
      <c r="A9" s="15">
        <v>8</v>
      </c>
      <c r="B9" s="15">
        <f t="shared" si="0"/>
        <v>-7</v>
      </c>
      <c r="C9" s="15" t="s">
        <v>13</v>
      </c>
      <c r="D9" s="15" t="s">
        <v>56</v>
      </c>
      <c r="E9" s="15" t="s">
        <v>24</v>
      </c>
      <c r="F9" s="15">
        <v>1</v>
      </c>
    </row>
    <row r="10" spans="1:6" x14ac:dyDescent="0.3">
      <c r="A10" s="15">
        <v>9</v>
      </c>
      <c r="B10" s="15">
        <f t="shared" si="0"/>
        <v>-7.875</v>
      </c>
      <c r="C10" s="15" t="s">
        <v>13</v>
      </c>
      <c r="D10" s="15" t="s">
        <v>57</v>
      </c>
      <c r="E10" s="15" t="s">
        <v>24</v>
      </c>
      <c r="F10" s="15">
        <v>1</v>
      </c>
    </row>
    <row r="11" spans="1:6" x14ac:dyDescent="0.3">
      <c r="A11" s="15">
        <v>10</v>
      </c>
      <c r="B11" s="15">
        <f t="shared" si="0"/>
        <v>-8.75</v>
      </c>
      <c r="C11" s="15" t="s">
        <v>13</v>
      </c>
      <c r="D11" s="15" t="s">
        <v>58</v>
      </c>
      <c r="E11" s="15" t="s">
        <v>24</v>
      </c>
      <c r="F11" s="15">
        <v>1</v>
      </c>
    </row>
    <row r="12" spans="1:6" x14ac:dyDescent="0.3">
      <c r="A12" s="15">
        <v>11</v>
      </c>
      <c r="B12" s="15">
        <f t="shared" si="0"/>
        <v>-9.625</v>
      </c>
      <c r="C12" s="15" t="s">
        <v>13</v>
      </c>
      <c r="D12" s="15" t="s">
        <v>59</v>
      </c>
      <c r="E12" s="15" t="s">
        <v>24</v>
      </c>
      <c r="F12" s="15">
        <v>1</v>
      </c>
    </row>
    <row r="13" spans="1:6" x14ac:dyDescent="0.3">
      <c r="A13" s="15">
        <v>12</v>
      </c>
      <c r="B13" s="15">
        <f t="shared" si="0"/>
        <v>-10.5</v>
      </c>
      <c r="C13" s="15" t="s">
        <v>13</v>
      </c>
      <c r="D13" s="15" t="s">
        <v>60</v>
      </c>
      <c r="E13" s="15" t="s">
        <v>24</v>
      </c>
      <c r="F13" s="15">
        <v>1</v>
      </c>
    </row>
    <row r="14" spans="1:6" x14ac:dyDescent="0.3">
      <c r="A14" s="15">
        <v>13</v>
      </c>
      <c r="B14" s="15">
        <f t="shared" si="0"/>
        <v>-11.375</v>
      </c>
      <c r="C14" s="15" t="s">
        <v>13</v>
      </c>
      <c r="D14" s="15" t="s">
        <v>61</v>
      </c>
      <c r="E14" s="15" t="s">
        <v>24</v>
      </c>
      <c r="F14" s="15">
        <v>1</v>
      </c>
    </row>
    <row r="15" spans="1:6" x14ac:dyDescent="0.3">
      <c r="A15" s="15">
        <v>14</v>
      </c>
      <c r="B15" s="15">
        <f t="shared" si="0"/>
        <v>-12.25</v>
      </c>
      <c r="C15" s="15" t="s">
        <v>13</v>
      </c>
      <c r="D15" s="15" t="s">
        <v>62</v>
      </c>
      <c r="E15" s="15" t="s">
        <v>24</v>
      </c>
      <c r="F15" s="15">
        <v>1</v>
      </c>
    </row>
    <row r="16" spans="1:6" x14ac:dyDescent="0.3">
      <c r="A16" s="15">
        <v>15</v>
      </c>
      <c r="B16" s="15">
        <f t="shared" si="0"/>
        <v>-13.125</v>
      </c>
      <c r="C16" s="15" t="s">
        <v>13</v>
      </c>
      <c r="D16" s="15" t="s">
        <v>63</v>
      </c>
      <c r="E16" s="15" t="s">
        <v>24</v>
      </c>
      <c r="F16" s="15">
        <v>1</v>
      </c>
    </row>
    <row r="17" spans="1:6" x14ac:dyDescent="0.3">
      <c r="A17" s="15">
        <v>16</v>
      </c>
      <c r="B17" s="15">
        <f t="shared" si="0"/>
        <v>-14</v>
      </c>
      <c r="C17" s="15" t="s">
        <v>13</v>
      </c>
      <c r="D17" s="15" t="s">
        <v>64</v>
      </c>
      <c r="E17" s="15" t="s">
        <v>24</v>
      </c>
      <c r="F17" s="15">
        <v>1</v>
      </c>
    </row>
    <row r="18" spans="1:6" x14ac:dyDescent="0.3">
      <c r="A18" s="15">
        <v>17</v>
      </c>
      <c r="B18" s="15">
        <f t="shared" si="0"/>
        <v>-14.875</v>
      </c>
      <c r="C18" s="15" t="s">
        <v>13</v>
      </c>
      <c r="D18" s="15" t="s">
        <v>65</v>
      </c>
      <c r="E18" s="15" t="s">
        <v>24</v>
      </c>
      <c r="F18" s="15">
        <v>1</v>
      </c>
    </row>
    <row r="19" spans="1:6" x14ac:dyDescent="0.3">
      <c r="A19" s="15">
        <v>18</v>
      </c>
      <c r="B19" s="15">
        <f t="shared" si="0"/>
        <v>-15.75</v>
      </c>
      <c r="C19" s="15" t="s">
        <v>13</v>
      </c>
      <c r="D19" s="15" t="s">
        <v>66</v>
      </c>
      <c r="E19" s="15" t="s">
        <v>24</v>
      </c>
      <c r="F19" s="15">
        <v>1</v>
      </c>
    </row>
    <row r="20" spans="1:6" x14ac:dyDescent="0.3">
      <c r="A20" s="15">
        <v>19</v>
      </c>
      <c r="B20" s="15">
        <f t="shared" si="0"/>
        <v>-16.625</v>
      </c>
      <c r="C20" s="15" t="s">
        <v>13</v>
      </c>
      <c r="D20" s="15" t="s">
        <v>67</v>
      </c>
      <c r="E20" s="15" t="s">
        <v>24</v>
      </c>
      <c r="F20" s="15">
        <v>1</v>
      </c>
    </row>
    <row r="21" spans="1:6" x14ac:dyDescent="0.3">
      <c r="A21" s="15">
        <v>20</v>
      </c>
      <c r="B21" s="15">
        <f t="shared" si="0"/>
        <v>-17.5</v>
      </c>
      <c r="C21" s="15" t="s">
        <v>13</v>
      </c>
      <c r="D21" s="15" t="s">
        <v>68</v>
      </c>
      <c r="E21" s="15" t="s">
        <v>24</v>
      </c>
      <c r="F21" s="15">
        <v>1</v>
      </c>
    </row>
    <row r="22" spans="1:6" x14ac:dyDescent="0.3">
      <c r="A22" s="15">
        <v>21</v>
      </c>
      <c r="B22" s="15">
        <f t="shared" si="0"/>
        <v>-18.375</v>
      </c>
      <c r="C22" s="15" t="s">
        <v>12</v>
      </c>
      <c r="D22" s="15" t="s">
        <v>69</v>
      </c>
      <c r="E22" s="15" t="s">
        <v>24</v>
      </c>
      <c r="F22" s="15">
        <v>1</v>
      </c>
    </row>
    <row r="23" spans="1:6" x14ac:dyDescent="0.3">
      <c r="A23" s="15">
        <v>22</v>
      </c>
      <c r="B23" s="15">
        <f t="shared" si="0"/>
        <v>-19.25</v>
      </c>
      <c r="C23" s="15" t="s">
        <v>12</v>
      </c>
      <c r="D23" s="15" t="s">
        <v>70</v>
      </c>
      <c r="E23" s="15" t="s">
        <v>24</v>
      </c>
      <c r="F23" s="15">
        <v>1</v>
      </c>
    </row>
    <row r="24" spans="1:6" x14ac:dyDescent="0.3">
      <c r="A24" s="15">
        <v>23</v>
      </c>
      <c r="B24" s="15">
        <f t="shared" si="0"/>
        <v>-20.125</v>
      </c>
      <c r="C24" s="15" t="s">
        <v>12</v>
      </c>
      <c r="D24" s="15" t="s">
        <v>71</v>
      </c>
      <c r="E24" s="15" t="s">
        <v>24</v>
      </c>
      <c r="F24" s="15">
        <v>1</v>
      </c>
    </row>
    <row r="25" spans="1:6" x14ac:dyDescent="0.3">
      <c r="A25" s="15">
        <v>24</v>
      </c>
      <c r="B25" s="15">
        <f t="shared" si="0"/>
        <v>-21</v>
      </c>
      <c r="C25" s="15" t="s">
        <v>12</v>
      </c>
      <c r="D25" s="15" t="s">
        <v>72</v>
      </c>
      <c r="E25" s="15" t="s">
        <v>24</v>
      </c>
      <c r="F25" s="15">
        <v>1</v>
      </c>
    </row>
    <row r="26" spans="1:6" x14ac:dyDescent="0.3">
      <c r="A26" s="15">
        <v>25</v>
      </c>
      <c r="B26" s="15">
        <f t="shared" si="0"/>
        <v>-21.875</v>
      </c>
      <c r="C26" s="15" t="s">
        <v>12</v>
      </c>
      <c r="D26" s="15" t="s">
        <v>73</v>
      </c>
      <c r="E26" s="15" t="s">
        <v>24</v>
      </c>
      <c r="F26" s="15">
        <v>1</v>
      </c>
    </row>
    <row r="27" spans="1:6" x14ac:dyDescent="0.3">
      <c r="A27" s="15">
        <v>26</v>
      </c>
      <c r="B27" s="15">
        <f>-0.875*A27</f>
        <v>-22.75</v>
      </c>
      <c r="C27" s="15" t="s">
        <v>12</v>
      </c>
      <c r="D27" s="15" t="s">
        <v>74</v>
      </c>
      <c r="E27" s="15" t="s">
        <v>24</v>
      </c>
      <c r="F27" s="15">
        <v>1</v>
      </c>
    </row>
    <row r="28" spans="1:6" x14ac:dyDescent="0.3">
      <c r="A28" s="15">
        <v>27</v>
      </c>
      <c r="B28" s="15">
        <f t="shared" si="0"/>
        <v>-23.625</v>
      </c>
      <c r="C28" s="15" t="s">
        <v>12</v>
      </c>
      <c r="D28" s="15" t="s">
        <v>75</v>
      </c>
      <c r="E28" s="15" t="s">
        <v>24</v>
      </c>
      <c r="F28" s="15">
        <v>1</v>
      </c>
    </row>
    <row r="29" spans="1:6" x14ac:dyDescent="0.3">
      <c r="A29" s="15">
        <v>28</v>
      </c>
      <c r="B29" s="15">
        <f t="shared" si="0"/>
        <v>-24.5</v>
      </c>
      <c r="C29" s="15" t="s">
        <v>12</v>
      </c>
      <c r="D29" s="15" t="s">
        <v>76</v>
      </c>
      <c r="E29" s="15" t="s">
        <v>24</v>
      </c>
      <c r="F29" s="15">
        <v>1</v>
      </c>
    </row>
    <row r="30" spans="1:6" x14ac:dyDescent="0.3">
      <c r="A30" s="15">
        <v>29</v>
      </c>
      <c r="B30" s="15">
        <f t="shared" si="0"/>
        <v>-25.375</v>
      </c>
      <c r="C30" s="15" t="s">
        <v>12</v>
      </c>
      <c r="D30" s="15" t="s">
        <v>77</v>
      </c>
      <c r="E30" s="15" t="s">
        <v>24</v>
      </c>
      <c r="F30" s="15">
        <v>1</v>
      </c>
    </row>
    <row r="31" spans="1:6" x14ac:dyDescent="0.3">
      <c r="A31" s="15">
        <v>30</v>
      </c>
      <c r="B31" s="15">
        <f t="shared" si="0"/>
        <v>-26.25</v>
      </c>
      <c r="C31" s="15" t="s">
        <v>12</v>
      </c>
      <c r="D31" s="15" t="s">
        <v>78</v>
      </c>
      <c r="E31" s="15" t="s">
        <v>24</v>
      </c>
      <c r="F31" s="15">
        <v>1</v>
      </c>
    </row>
    <row r="32" spans="1:6" x14ac:dyDescent="0.3">
      <c r="A32" s="15">
        <v>31</v>
      </c>
      <c r="B32" s="15">
        <f t="shared" si="0"/>
        <v>-27.125</v>
      </c>
      <c r="C32" s="15" t="s">
        <v>12</v>
      </c>
      <c r="D32" s="15" t="s">
        <v>79</v>
      </c>
      <c r="E32" s="15" t="s">
        <v>24</v>
      </c>
      <c r="F32" s="15">
        <v>1</v>
      </c>
    </row>
    <row r="33" spans="1:6" x14ac:dyDescent="0.3">
      <c r="A33" s="15">
        <v>32</v>
      </c>
      <c r="B33" s="15">
        <f t="shared" si="0"/>
        <v>-28</v>
      </c>
      <c r="C33" s="15" t="s">
        <v>12</v>
      </c>
      <c r="D33" s="15" t="s">
        <v>80</v>
      </c>
      <c r="E33" s="15" t="s">
        <v>24</v>
      </c>
      <c r="F33" s="15">
        <v>1</v>
      </c>
    </row>
    <row r="34" spans="1:6" x14ac:dyDescent="0.3">
      <c r="A34" s="15">
        <v>33</v>
      </c>
      <c r="B34" s="15">
        <f t="shared" si="0"/>
        <v>-28.875</v>
      </c>
      <c r="C34" s="15" t="s">
        <v>12</v>
      </c>
      <c r="D34" s="15" t="s">
        <v>81</v>
      </c>
      <c r="E34" s="15" t="s">
        <v>24</v>
      </c>
      <c r="F34" s="15">
        <v>1</v>
      </c>
    </row>
    <row r="35" spans="1:6" x14ac:dyDescent="0.3">
      <c r="A35" s="15">
        <v>34</v>
      </c>
      <c r="B35" s="15">
        <f t="shared" si="0"/>
        <v>-29.75</v>
      </c>
      <c r="C35" s="15" t="s">
        <v>12</v>
      </c>
      <c r="D35" s="15" t="s">
        <v>82</v>
      </c>
      <c r="E35" s="15" t="s">
        <v>24</v>
      </c>
      <c r="F35" s="15">
        <v>1</v>
      </c>
    </row>
    <row r="36" spans="1:6" x14ac:dyDescent="0.3">
      <c r="A36" s="15">
        <v>35</v>
      </c>
      <c r="B36" s="15">
        <f t="shared" si="0"/>
        <v>-30.625</v>
      </c>
      <c r="C36" s="15" t="s">
        <v>12</v>
      </c>
      <c r="D36" s="15" t="s">
        <v>83</v>
      </c>
      <c r="E36" s="15" t="s">
        <v>24</v>
      </c>
      <c r="F36" s="15">
        <v>1</v>
      </c>
    </row>
    <row r="37" spans="1:6" x14ac:dyDescent="0.3">
      <c r="A37" s="15">
        <v>36</v>
      </c>
      <c r="B37" s="15">
        <f t="shared" si="0"/>
        <v>-31.5</v>
      </c>
      <c r="C37" s="15" t="s">
        <v>12</v>
      </c>
      <c r="D37" s="15" t="s">
        <v>84</v>
      </c>
      <c r="E37" s="15" t="s">
        <v>24</v>
      </c>
      <c r="F37" s="15">
        <v>1</v>
      </c>
    </row>
    <row r="38" spans="1:6" x14ac:dyDescent="0.3">
      <c r="A38" s="15">
        <v>37</v>
      </c>
      <c r="B38" s="15">
        <f t="shared" si="0"/>
        <v>-32.375</v>
      </c>
      <c r="C38" s="15" t="s">
        <v>12</v>
      </c>
      <c r="D38" s="15" t="s">
        <v>85</v>
      </c>
      <c r="E38" s="15" t="s">
        <v>24</v>
      </c>
      <c r="F38" s="15">
        <v>1</v>
      </c>
    </row>
    <row r="39" spans="1:6" x14ac:dyDescent="0.3">
      <c r="A39" s="15">
        <v>38</v>
      </c>
      <c r="B39" s="15">
        <f t="shared" si="0"/>
        <v>-33.25</v>
      </c>
      <c r="C39" s="15" t="s">
        <v>12</v>
      </c>
      <c r="D39" s="15" t="s">
        <v>86</v>
      </c>
      <c r="E39" s="15" t="s">
        <v>24</v>
      </c>
      <c r="F39" s="15">
        <v>1</v>
      </c>
    </row>
    <row r="40" spans="1:6" x14ac:dyDescent="0.3">
      <c r="A40" s="15">
        <v>39</v>
      </c>
      <c r="B40" s="15">
        <f t="shared" si="0"/>
        <v>-34.125</v>
      </c>
      <c r="C40" s="15" t="s">
        <v>12</v>
      </c>
      <c r="D40" s="15" t="s">
        <v>87</v>
      </c>
      <c r="E40" s="15" t="s">
        <v>24</v>
      </c>
      <c r="F40" s="15">
        <v>1</v>
      </c>
    </row>
    <row r="41" spans="1:6" x14ac:dyDescent="0.3">
      <c r="A41" s="15">
        <v>40</v>
      </c>
      <c r="B41" s="15">
        <f t="shared" si="0"/>
        <v>-35</v>
      </c>
      <c r="C41" s="15" t="s">
        <v>12</v>
      </c>
      <c r="D41" s="15" t="s">
        <v>88</v>
      </c>
      <c r="E41" s="15" t="s">
        <v>24</v>
      </c>
      <c r="F41" s="1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SoilType</vt:lpstr>
      <vt:lpstr>SoilData</vt:lpstr>
      <vt:lpstr>SOILCURVE-CODE</vt:lpstr>
      <vt:lpstr>T-Z curve</vt:lpstr>
      <vt:lpstr>Q-Z curve</vt:lpstr>
      <vt:lpstr>P-Y curve</vt:lpstr>
      <vt:lpstr>DM curve</vt:lpstr>
      <vt:lpstr>BS&amp;BM curve</vt:lpstr>
      <vt:lpstr>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Yao, Tao</dc:creator>
  <cp:lastModifiedBy>Yao, Tao</cp:lastModifiedBy>
  <dcterms:created xsi:type="dcterms:W3CDTF">2022-09-08T06:44:52Z</dcterms:created>
  <dcterms:modified xsi:type="dcterms:W3CDTF">2022-09-21T23:34:49Z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7c84fa2-b2bb-403e-b8d4-2e71c559e792_Enabled">
    <vt:lpwstr>true</vt:lpwstr>
  </property>
  <property fmtid="{D5CDD505-2E9C-101B-9397-08002B2CF9AE}" pid="3" name="MSIP_Label_57c84fa2-b2bb-403e-b8d4-2e71c559e792_SetDate">
    <vt:lpwstr>2022-09-08T07:52:02Z</vt:lpwstr>
  </property>
  <property fmtid="{D5CDD505-2E9C-101B-9397-08002B2CF9AE}" pid="4" name="MSIP_Label_57c84fa2-b2bb-403e-b8d4-2e71c559e792_Method">
    <vt:lpwstr>Privileged</vt:lpwstr>
  </property>
  <property fmtid="{D5CDD505-2E9C-101B-9397-08002B2CF9AE}" pid="5" name="MSIP_Label_57c84fa2-b2bb-403e-b8d4-2e71c559e792_Name">
    <vt:lpwstr>DNV_Open</vt:lpwstr>
  </property>
  <property fmtid="{D5CDD505-2E9C-101B-9397-08002B2CF9AE}" pid="6" name="MSIP_Label_57c84fa2-b2bb-403e-b8d4-2e71c559e792_SiteId">
    <vt:lpwstr>adf10e2b-b6e9-41d6-be2f-c12bb566019c</vt:lpwstr>
  </property>
  <property fmtid="{D5CDD505-2E9C-101B-9397-08002B2CF9AE}" pid="7" name="MSIP_Label_57c84fa2-b2bb-403e-b8d4-2e71c559e792_ActionId">
    <vt:lpwstr>b28e61e4-5932-4ad2-81fe-ab415d048b0c</vt:lpwstr>
  </property>
  <property fmtid="{D5CDD505-2E9C-101B-9397-08002B2CF9AE}" pid="8" name="MSIP_Label_57c84fa2-b2bb-403e-b8d4-2e71c559e792_ContentBits">
    <vt:lpwstr>0</vt:lpwstr>
  </property>
</Properties>
</file>