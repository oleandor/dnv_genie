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60" yWindow="135" windowWidth="8820" windowHeight="6630"/>
  </bookViews>
  <sheets>
    <sheet name="Jacket" sheetId="1" r:id="rId1"/>
    <sheet name="Help" sheetId="4" r:id="rId2"/>
    <sheet name="General" sheetId="2" r:id="rId3"/>
    <sheet name="Output" sheetId="3" r:id="rId4"/>
  </sheets>
  <functionGroups builtInGroupCount="17"/>
  <definedNames>
    <definedName name="Braces">Jacket!$G$9</definedName>
    <definedName name="coor_bat">Jacket!$G$7</definedName>
    <definedName name="Dsection">Jacket!$C$15</definedName>
    <definedName name="Elev_Base">Jacket!$AI$57</definedName>
    <definedName name="General_js">Output!$A$1</definedName>
    <definedName name="Genie_Home">General!$C$4</definedName>
    <definedName name="hhh">Jacket!#REF!</definedName>
    <definedName name="Hsection">Jacket!$C$13</definedName>
    <definedName name="Legsection">Jacket!$C$11</definedName>
    <definedName name="Material">Jacket!$C$7</definedName>
    <definedName name="MatLib">General!$C$41</definedName>
    <definedName name="Name_Base">General!$D$72</definedName>
    <definedName name="_xlnm.Print_Area" localSheetId="0">Jacket!$A$1:$AA$120</definedName>
    <definedName name="_xlnm.Print_Area" localSheetId="3">Output!$A$8:$A$27</definedName>
    <definedName name="SectionLib">General!$C$10</definedName>
    <definedName name="SMData">General!$C$10</definedName>
    <definedName name="Title">Jacket!$C$3</definedName>
    <definedName name="Unit_Base">Jacket!$C$25</definedName>
    <definedName name="X1_Base">Jacket!$AK$60</definedName>
    <definedName name="X2_Base">Jacket!$AK$7</definedName>
    <definedName name="X2_Calc">Jacket!$AK$9</definedName>
    <definedName name="xbrace_base">Jacket!$I$9</definedName>
    <definedName name="xbraces">Jacket!$J$9</definedName>
    <definedName name="Y1_Base">Jacket!$AK$119</definedName>
    <definedName name="Y2_Base">Jacket!$AK$66</definedName>
    <definedName name="Y2_Calc">Jacket!$AK$68</definedName>
    <definedName name="ybrace_base">Jacket!$I$68</definedName>
    <definedName name="ybraces">Jacket!#REF!</definedName>
  </definedNames>
  <calcPr calcId="145621"/>
</workbook>
</file>

<file path=xl/calcChain.xml><?xml version="1.0" encoding="utf-8"?>
<calcChain xmlns="http://schemas.openxmlformats.org/spreadsheetml/2006/main">
  <c r="H7" i="1" l="1"/>
  <c r="G52" i="1"/>
  <c r="G50" i="1"/>
  <c r="H60" i="1"/>
  <c r="F57" i="1"/>
  <c r="AI57" i="1"/>
  <c r="E57" i="1"/>
  <c r="AI55" i="1"/>
  <c r="AI53" i="1"/>
  <c r="AJ56" i="1"/>
  <c r="AJ56" i="4"/>
  <c r="AI57" i="4"/>
  <c r="AI55" i="4"/>
  <c r="AJ54" i="4"/>
  <c r="E112" i="1"/>
  <c r="AH51" i="1"/>
  <c r="E110" i="1"/>
  <c r="E106" i="1"/>
  <c r="E98" i="1"/>
  <c r="E96" i="1"/>
  <c r="E94" i="1"/>
  <c r="E90" i="1"/>
  <c r="E82" i="1"/>
  <c r="E80" i="1"/>
  <c r="E78" i="1"/>
  <c r="E74" i="1"/>
  <c r="AH57" i="1"/>
  <c r="E116" i="1"/>
  <c r="AH11" i="1"/>
  <c r="E70" i="1"/>
  <c r="AH13" i="1"/>
  <c r="E72" i="1"/>
  <c r="AH15" i="1"/>
  <c r="AH17" i="1"/>
  <c r="E76" i="1"/>
  <c r="AH19" i="1"/>
  <c r="AH21" i="1"/>
  <c r="AH23" i="1"/>
  <c r="AH25" i="1"/>
  <c r="E84" i="1"/>
  <c r="AH27" i="1"/>
  <c r="E86" i="1"/>
  <c r="AH29" i="1"/>
  <c r="E88" i="1"/>
  <c r="AH31" i="1"/>
  <c r="AH33" i="1"/>
  <c r="E92" i="1"/>
  <c r="AH35" i="1"/>
  <c r="AH37" i="1"/>
  <c r="AH39" i="1"/>
  <c r="AH41" i="1"/>
  <c r="E100" i="1"/>
  <c r="AH43" i="1"/>
  <c r="E102" i="1"/>
  <c r="AH45" i="1"/>
  <c r="E104" i="1"/>
  <c r="AH47" i="1"/>
  <c r="AH49" i="1"/>
  <c r="E108" i="1"/>
  <c r="AH53" i="1"/>
  <c r="AH55" i="1"/>
  <c r="E114" i="1"/>
  <c r="AI33" i="1"/>
  <c r="E33" i="1"/>
  <c r="F92" i="1"/>
  <c r="AI31" i="1"/>
  <c r="E31" i="1"/>
  <c r="F90" i="1"/>
  <c r="AI29" i="1"/>
  <c r="F88" i="1"/>
  <c r="AI27" i="1"/>
  <c r="F86" i="1"/>
  <c r="AI25" i="1"/>
  <c r="F84" i="1"/>
  <c r="AI23" i="1"/>
  <c r="F82" i="1"/>
  <c r="AI21" i="1"/>
  <c r="F80" i="1"/>
  <c r="AI19" i="1"/>
  <c r="F78" i="1"/>
  <c r="AI17" i="1"/>
  <c r="E17" i="1"/>
  <c r="F76" i="1"/>
  <c r="AI15" i="1"/>
  <c r="E15" i="1"/>
  <c r="F74" i="1"/>
  <c r="AI13" i="1"/>
  <c r="F72" i="1"/>
  <c r="AI11" i="1"/>
  <c r="F70" i="1"/>
  <c r="AJ54" i="1"/>
  <c r="G113" i="1"/>
  <c r="AJ52" i="1"/>
  <c r="G111" i="1"/>
  <c r="AJ36" i="1"/>
  <c r="G95" i="1"/>
  <c r="AJ34" i="1"/>
  <c r="G93" i="1"/>
  <c r="AJ32" i="1"/>
  <c r="G91" i="1"/>
  <c r="AJ30" i="1"/>
  <c r="G89" i="1"/>
  <c r="AJ28" i="1"/>
  <c r="G87" i="1"/>
  <c r="AJ26" i="1"/>
  <c r="G85" i="1"/>
  <c r="AJ24" i="1"/>
  <c r="G83" i="1"/>
  <c r="AJ22" i="1"/>
  <c r="G81" i="1"/>
  <c r="AJ20" i="1"/>
  <c r="G79" i="1"/>
  <c r="AJ18" i="1"/>
  <c r="G77" i="1"/>
  <c r="AJ16" i="1"/>
  <c r="G75" i="1"/>
  <c r="AJ14" i="1"/>
  <c r="G73" i="1"/>
  <c r="AJ12" i="1"/>
  <c r="G71" i="1"/>
  <c r="Z69" i="1"/>
  <c r="Z65" i="1"/>
  <c r="X69" i="1"/>
  <c r="V69" i="1"/>
  <c r="T69" i="1"/>
  <c r="R69" i="1"/>
  <c r="Z11" i="1"/>
  <c r="X11" i="1"/>
  <c r="V11" i="1"/>
  <c r="V59" i="1"/>
  <c r="T11" i="1"/>
  <c r="T59" i="1"/>
  <c r="R11" i="1"/>
  <c r="BB120" i="4"/>
  <c r="AZ120" i="4"/>
  <c r="AX120" i="4"/>
  <c r="AV120" i="4"/>
  <c r="AT120" i="4"/>
  <c r="AR120" i="4"/>
  <c r="AP120" i="4"/>
  <c r="AN120" i="4"/>
  <c r="AL120" i="4"/>
  <c r="BC119" i="4"/>
  <c r="BA119" i="4"/>
  <c r="AY119" i="4"/>
  <c r="AW119" i="4"/>
  <c r="AU119" i="4"/>
  <c r="AS119" i="4"/>
  <c r="AQ119" i="4"/>
  <c r="AK119" i="4"/>
  <c r="AM119" i="4"/>
  <c r="AO119" i="4"/>
  <c r="Z118" i="4"/>
  <c r="X118" i="4"/>
  <c r="V118" i="4"/>
  <c r="T118" i="4"/>
  <c r="R69" i="4"/>
  <c r="P69" i="4"/>
  <c r="N69" i="4"/>
  <c r="L69" i="4"/>
  <c r="J69" i="4"/>
  <c r="H69" i="4"/>
  <c r="G115" i="4"/>
  <c r="G113" i="4"/>
  <c r="AJ52" i="4"/>
  <c r="G111" i="4"/>
  <c r="AJ50" i="4"/>
  <c r="G109" i="4"/>
  <c r="AJ48" i="4"/>
  <c r="G107" i="4"/>
  <c r="AJ46" i="4"/>
  <c r="G105" i="4"/>
  <c r="AJ44" i="4"/>
  <c r="G103" i="4"/>
  <c r="AI41" i="4"/>
  <c r="F100" i="4"/>
  <c r="AI39" i="4"/>
  <c r="AJ38" i="4"/>
  <c r="G97" i="4"/>
  <c r="AJ40" i="4"/>
  <c r="G99" i="4"/>
  <c r="F98" i="4"/>
  <c r="AI37" i="4"/>
  <c r="F96" i="4"/>
  <c r="AJ36" i="4"/>
  <c r="G95" i="4"/>
  <c r="AI35" i="4"/>
  <c r="F94" i="4"/>
  <c r="AI33" i="4"/>
  <c r="AJ34" i="4"/>
  <c r="G93" i="4"/>
  <c r="F92" i="4"/>
  <c r="AJ32" i="4"/>
  <c r="G91" i="4"/>
  <c r="AI31" i="4"/>
  <c r="F90" i="4"/>
  <c r="AJ30" i="4"/>
  <c r="G89" i="4"/>
  <c r="AI29" i="4"/>
  <c r="F88" i="4"/>
  <c r="AJ28" i="4"/>
  <c r="G87" i="4"/>
  <c r="AI27" i="4"/>
  <c r="F86" i="4"/>
  <c r="AJ26" i="4"/>
  <c r="G85" i="4"/>
  <c r="AI25" i="4"/>
  <c r="F84" i="4"/>
  <c r="AJ24" i="4"/>
  <c r="G83" i="4"/>
  <c r="AI23" i="4"/>
  <c r="F82" i="4"/>
  <c r="AJ22" i="4"/>
  <c r="G81" i="4"/>
  <c r="AI21" i="4"/>
  <c r="F80" i="4"/>
  <c r="AJ20" i="4"/>
  <c r="G79" i="4"/>
  <c r="AI19" i="4"/>
  <c r="F78" i="4"/>
  <c r="AJ18" i="4"/>
  <c r="G77" i="4"/>
  <c r="AI17" i="4"/>
  <c r="F76" i="4"/>
  <c r="AJ16" i="4"/>
  <c r="G75" i="4"/>
  <c r="AI15" i="4"/>
  <c r="F74" i="4"/>
  <c r="AJ14" i="4"/>
  <c r="G73" i="4"/>
  <c r="AI13" i="4"/>
  <c r="F72" i="4"/>
  <c r="AJ12" i="4"/>
  <c r="G71" i="4"/>
  <c r="AI11" i="4"/>
  <c r="F70" i="4"/>
  <c r="BB67" i="4"/>
  <c r="AZ67" i="4"/>
  <c r="AX67" i="4"/>
  <c r="AV67" i="4"/>
  <c r="AT67" i="4"/>
  <c r="AR67" i="4"/>
  <c r="AP67" i="4"/>
  <c r="AN67" i="4"/>
  <c r="AM66" i="4"/>
  <c r="AK66" i="4"/>
  <c r="AL67" i="4"/>
  <c r="BC66" i="4"/>
  <c r="BA66" i="4"/>
  <c r="AY66" i="4"/>
  <c r="AW66" i="4"/>
  <c r="AU66" i="4"/>
  <c r="AS66" i="4"/>
  <c r="AQ66" i="4"/>
  <c r="AO66" i="4"/>
  <c r="Z65" i="4"/>
  <c r="X65" i="4"/>
  <c r="V65" i="4"/>
  <c r="T65" i="4"/>
  <c r="BB61" i="4"/>
  <c r="AZ61" i="4"/>
  <c r="AX61" i="4"/>
  <c r="AV61" i="4"/>
  <c r="AT61" i="4"/>
  <c r="AR61" i="4"/>
  <c r="AP61" i="4"/>
  <c r="AN61" i="4"/>
  <c r="AL61" i="4"/>
  <c r="BC60" i="4"/>
  <c r="BA60" i="4"/>
  <c r="AY60" i="4"/>
  <c r="AW60" i="4"/>
  <c r="AU60" i="4"/>
  <c r="AS60" i="4"/>
  <c r="AK60" i="4"/>
  <c r="AM60" i="4"/>
  <c r="AO60" i="4"/>
  <c r="AQ60" i="4"/>
  <c r="Z59" i="4"/>
  <c r="X59" i="4"/>
  <c r="V59" i="4"/>
  <c r="T59" i="4"/>
  <c r="R11" i="4"/>
  <c r="P11" i="4"/>
  <c r="N11" i="4"/>
  <c r="L11" i="4"/>
  <c r="J11" i="4"/>
  <c r="H11" i="4"/>
  <c r="BB8" i="4"/>
  <c r="AZ8" i="4"/>
  <c r="AX8" i="4"/>
  <c r="AV8" i="4"/>
  <c r="AT8" i="4"/>
  <c r="AR8" i="4"/>
  <c r="AQ7" i="4"/>
  <c r="AO7" i="4"/>
  <c r="AP8" i="4"/>
  <c r="AM7" i="4"/>
  <c r="AL8" i="4"/>
  <c r="AN8" i="4"/>
  <c r="AK7" i="4"/>
  <c r="BC7" i="4"/>
  <c r="BA7" i="4"/>
  <c r="AY7" i="4"/>
  <c r="AW7" i="4"/>
  <c r="AU7" i="4"/>
  <c r="AS7" i="4"/>
  <c r="Z6" i="4"/>
  <c r="X6" i="4"/>
  <c r="V6" i="4"/>
  <c r="T6" i="4"/>
  <c r="P69" i="1"/>
  <c r="N69" i="1"/>
  <c r="L69" i="1"/>
  <c r="L65" i="1"/>
  <c r="J69" i="1"/>
  <c r="J65" i="1"/>
  <c r="H69" i="1"/>
  <c r="H65" i="1"/>
  <c r="P11" i="1"/>
  <c r="N11" i="1"/>
  <c r="N6" i="1"/>
  <c r="L11" i="1"/>
  <c r="J11" i="1"/>
  <c r="H11" i="1"/>
  <c r="H6"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BC119" i="1"/>
  <c r="Z118" i="1"/>
  <c r="BA119" i="1"/>
  <c r="X118" i="1"/>
  <c r="AY119" i="1"/>
  <c r="V118" i="1"/>
  <c r="AW119" i="1"/>
  <c r="T118" i="1"/>
  <c r="AK119" i="1"/>
  <c r="H118" i="1"/>
  <c r="AM119" i="1"/>
  <c r="AO119" i="1"/>
  <c r="AS119" i="1"/>
  <c r="AU119" i="1"/>
  <c r="R118" i="1"/>
  <c r="P118" i="1"/>
  <c r="AS60" i="1"/>
  <c r="P59" i="1"/>
  <c r="AK60" i="1"/>
  <c r="H59" i="1"/>
  <c r="AM60" i="1"/>
  <c r="J59" i="1"/>
  <c r="AO60" i="1"/>
  <c r="L59" i="1"/>
  <c r="AQ60" i="1"/>
  <c r="N59" i="1"/>
  <c r="BC60" i="1"/>
  <c r="Z59" i="1"/>
  <c r="BA60" i="1"/>
  <c r="X59" i="1"/>
  <c r="AY60" i="1"/>
  <c r="AW60" i="1"/>
  <c r="AU60" i="1"/>
  <c r="R59" i="1"/>
  <c r="J6" i="1"/>
  <c r="AO66" i="1"/>
  <c r="AP67" i="1" s="1"/>
  <c r="J192" i="1"/>
  <c r="J191" i="1"/>
  <c r="J190" i="1"/>
  <c r="J189" i="1"/>
  <c r="J188" i="1"/>
  <c r="J187" i="1"/>
  <c r="J186" i="1"/>
  <c r="G212" i="1"/>
  <c r="G186" i="1"/>
  <c r="X65" i="1"/>
  <c r="V65" i="1"/>
  <c r="T65" i="1"/>
  <c r="R65" i="1"/>
  <c r="P65" i="1"/>
  <c r="N65" i="1"/>
  <c r="Z6" i="1"/>
  <c r="X6" i="1"/>
  <c r="V6" i="1"/>
  <c r="T6" i="1"/>
  <c r="R6" i="1"/>
  <c r="P6" i="1"/>
  <c r="L6" i="1"/>
  <c r="E27" i="1"/>
  <c r="E25" i="1"/>
  <c r="E23" i="1"/>
  <c r="E19" i="1"/>
  <c r="E11" i="1"/>
  <c r="BB120" i="1"/>
  <c r="AZ120" i="1"/>
  <c r="AX120" i="1"/>
  <c r="AV120" i="1"/>
  <c r="AT120" i="1"/>
  <c r="AR120" i="1"/>
  <c r="AP120" i="1"/>
  <c r="AN120" i="1"/>
  <c r="AL120" i="1"/>
  <c r="AK66" i="1"/>
  <c r="AM66" i="1"/>
  <c r="AL67" i="1" s="1"/>
  <c r="AQ66" i="1"/>
  <c r="AS66" i="1"/>
  <c r="AU66" i="1"/>
  <c r="AW66" i="1"/>
  <c r="AY66" i="1"/>
  <c r="BA66" i="1"/>
  <c r="BC66" i="1"/>
  <c r="BB61" i="1"/>
  <c r="AZ61" i="1"/>
  <c r="AX61" i="1"/>
  <c r="AV61" i="1"/>
  <c r="AT61" i="1"/>
  <c r="AR61" i="1"/>
  <c r="AP61" i="1"/>
  <c r="AN61" i="1"/>
  <c r="AL61" i="1"/>
  <c r="BB67" i="1"/>
  <c r="AZ67" i="1"/>
  <c r="AX67" i="1"/>
  <c r="AV67" i="1"/>
  <c r="AT67" i="1"/>
  <c r="AR67" i="1"/>
  <c r="AN67" i="1"/>
  <c r="AK7" i="1"/>
  <c r="AM7" i="1"/>
  <c r="AO7" i="1"/>
  <c r="AQ7" i="1"/>
  <c r="AS7" i="1"/>
  <c r="AU7" i="1"/>
  <c r="AW7" i="1"/>
  <c r="AY7" i="1"/>
  <c r="BA7" i="1"/>
  <c r="BC7" i="1"/>
  <c r="AZ8" i="1"/>
  <c r="BB8" i="1"/>
  <c r="AX8" i="1"/>
  <c r="AV8" i="1"/>
  <c r="AT8" i="1"/>
  <c r="AR8" i="1"/>
  <c r="AP8" i="1"/>
  <c r="F114" i="1"/>
  <c r="G115" i="1"/>
  <c r="F116" i="1"/>
  <c r="AQ119" i="1"/>
  <c r="N118" i="1"/>
  <c r="L118" i="1"/>
  <c r="AI51" i="1"/>
  <c r="E53" i="1"/>
  <c r="F112" i="1"/>
  <c r="AI49" i="1"/>
  <c r="G48" i="1"/>
  <c r="AJ50" i="1"/>
  <c r="G109" i="1"/>
  <c r="F114" i="4"/>
  <c r="AI53" i="4"/>
  <c r="E29" i="1"/>
  <c r="E55" i="1"/>
  <c r="F116" i="4"/>
  <c r="E13" i="1"/>
  <c r="E21" i="1"/>
  <c r="J118" i="1"/>
  <c r="F110" i="1"/>
  <c r="E51" i="1"/>
  <c r="G46" i="1"/>
  <c r="AJ48" i="1"/>
  <c r="G107" i="1"/>
  <c r="AI47" i="1"/>
  <c r="F112" i="4"/>
  <c r="AI51" i="4"/>
  <c r="F108" i="1"/>
  <c r="E49" i="1"/>
  <c r="AI49" i="4"/>
  <c r="F110" i="4"/>
  <c r="E47" i="1"/>
  <c r="F106" i="1"/>
  <c r="AJ46" i="1"/>
  <c r="G105" i="1"/>
  <c r="AI45" i="1"/>
  <c r="G44" i="1"/>
  <c r="F104" i="1"/>
  <c r="E45" i="1"/>
  <c r="F108" i="4"/>
  <c r="AI47" i="4"/>
  <c r="AJ44" i="1"/>
  <c r="G103" i="1"/>
  <c r="AI43" i="1"/>
  <c r="G42" i="1"/>
  <c r="E43" i="1"/>
  <c r="F102" i="1"/>
  <c r="AI45" i="4"/>
  <c r="F106" i="4"/>
  <c r="AJ42" i="1"/>
  <c r="G101" i="1"/>
  <c r="AI41" i="1"/>
  <c r="G40" i="1"/>
  <c r="G38" i="1"/>
  <c r="AJ40" i="1"/>
  <c r="G99" i="1"/>
  <c r="AI39" i="1"/>
  <c r="E41" i="1"/>
  <c r="F100" i="1"/>
  <c r="AI43" i="4"/>
  <c r="F104" i="4"/>
  <c r="AJ42" i="4"/>
  <c r="G101" i="4"/>
  <c r="F102" i="4"/>
  <c r="F98" i="1"/>
  <c r="E39" i="1"/>
  <c r="AJ38" i="1"/>
  <c r="G97" i="1"/>
  <c r="AI37" i="1"/>
  <c r="F96" i="1"/>
  <c r="E37" i="1"/>
  <c r="AI35" i="1"/>
  <c r="E35" i="1"/>
  <c r="F94" i="1"/>
  <c r="AN8" i="1" l="1"/>
  <c r="AL8" i="1"/>
</calcChain>
</file>

<file path=xl/sharedStrings.xml><?xml version="1.0" encoding="utf-8"?>
<sst xmlns="http://schemas.openxmlformats.org/spreadsheetml/2006/main" count="1096" uniqueCount="530">
  <si>
    <t>X</t>
  </si>
  <si>
    <t>No</t>
  </si>
  <si>
    <t>/</t>
  </si>
  <si>
    <t>\</t>
  </si>
  <si>
    <t>Braces</t>
  </si>
  <si>
    <t>Elevations</t>
  </si>
  <si>
    <t>Y1</t>
  </si>
  <si>
    <t>Y2</t>
  </si>
  <si>
    <t>Y3</t>
  </si>
  <si>
    <t>Y4</t>
  </si>
  <si>
    <t>Y5</t>
  </si>
  <si>
    <t>Y6</t>
  </si>
  <si>
    <t>Y7</t>
  </si>
  <si>
    <t>Y8</t>
  </si>
  <si>
    <t>Y9</t>
  </si>
  <si>
    <t>XZ-Plane</t>
  </si>
  <si>
    <t>X1</t>
  </si>
  <si>
    <t>X2</t>
  </si>
  <si>
    <t>X3</t>
  </si>
  <si>
    <t>X4</t>
  </si>
  <si>
    <t>X5</t>
  </si>
  <si>
    <t>X6</t>
  </si>
  <si>
    <t>X7</t>
  </si>
  <si>
    <t>X8</t>
  </si>
  <si>
    <t>X9</t>
  </si>
  <si>
    <t>Z1</t>
  </si>
  <si>
    <t>Z2</t>
  </si>
  <si>
    <t>Z22</t>
  </si>
  <si>
    <t>Z21</t>
  </si>
  <si>
    <t>Z20</t>
  </si>
  <si>
    <t>Z19</t>
  </si>
  <si>
    <t>Z18</t>
  </si>
  <si>
    <t>Z17</t>
  </si>
  <si>
    <t>Z16</t>
  </si>
  <si>
    <t>Z15</t>
  </si>
  <si>
    <t>Z14</t>
  </si>
  <si>
    <t>Z13</t>
  </si>
  <si>
    <t>Z12</t>
  </si>
  <si>
    <t>Z11</t>
  </si>
  <si>
    <t>Z10</t>
  </si>
  <si>
    <t>Z9</t>
  </si>
  <si>
    <t>Z8</t>
  </si>
  <si>
    <t>Z7</t>
  </si>
  <si>
    <t>Z6</t>
  </si>
  <si>
    <t>Z5</t>
  </si>
  <si>
    <t>Z4</t>
  </si>
  <si>
    <t>Z3</t>
  </si>
  <si>
    <t xml:space="preserve">Calculated </t>
  </si>
  <si>
    <t>Spaces</t>
  </si>
  <si>
    <t>Elev. Nr.</t>
  </si>
  <si>
    <t xml:space="preserve">// </t>
  </si>
  <si>
    <t>//</t>
  </si>
  <si>
    <t>var X1 = new Array();</t>
  </si>
  <si>
    <t xml:space="preserve">    {</t>
  </si>
  <si>
    <t>}</t>
  </si>
  <si>
    <t>var X2 = new Array();</t>
  </si>
  <si>
    <t>var Y1 = new Array();</t>
  </si>
  <si>
    <t>var Y2 = new Array();</t>
  </si>
  <si>
    <t>var Z1 = new Array();</t>
  </si>
  <si>
    <t>// Cross section library</t>
  </si>
  <si>
    <t>// Material library</t>
  </si>
  <si>
    <t xml:space="preserve">    }</t>
  </si>
  <si>
    <t xml:space="preserve">     }</t>
  </si>
  <si>
    <t>//   Adding horizontal braces in X-dir</t>
  </si>
  <si>
    <t>//   Adding horizontal braces in Y-dir</t>
  </si>
  <si>
    <t>MakeLeg(X1, X2, Y1, Y2, Z1, "Leg");</t>
  </si>
  <si>
    <t xml:space="preserve">{       </t>
  </si>
  <si>
    <t xml:space="preserve">        var i, j, k;</t>
  </si>
  <si>
    <t xml:space="preserve">        var Pts1 = new Array();</t>
  </si>
  <si>
    <t xml:space="preserve">        var Bms1 = new Array();</t>
  </si>
  <si>
    <t xml:space="preserve">         {</t>
  </si>
  <si>
    <t xml:space="preserve">                   {</t>
  </si>
  <si>
    <t xml:space="preserve">                //</t>
  </si>
  <si>
    <t xml:space="preserve">                //      Calculate x coordinate for intermediate points</t>
  </si>
  <si>
    <t xml:space="preserve">                //        </t>
  </si>
  <si>
    <t xml:space="preserve">                //      Calculate y coordinate for intermediate points</t>
  </si>
  <si>
    <t xml:space="preserve">                    }</t>
  </si>
  <si>
    <t xml:space="preserve">                //     Putting beams on this leg</t>
  </si>
  <si>
    <t xml:space="preserve">                    {</t>
  </si>
  <si>
    <t xml:space="preserve">                        var Bms1 = new Array();</t>
  </si>
  <si>
    <t xml:space="preserve">          }</t>
  </si>
  <si>
    <t xml:space="preserve">        {</t>
  </si>
  <si>
    <t xml:space="preserve">                var Bms1 = new Array();</t>
  </si>
  <si>
    <t>//   X1-values in bottom of section</t>
  </si>
  <si>
    <t>// Standard Jacket Wizard input</t>
  </si>
  <si>
    <t>//           X2 is an array containing the distances from origin to the top of the legs in X-direction</t>
  </si>
  <si>
    <t>//           Y2 is an array containing the distances from origin to the top of the legs in Y-direction</t>
  </si>
  <si>
    <t>//           Y1 is an array containing the distances from origin to the bottom of the legs in Y-direction</t>
  </si>
  <si>
    <t>//           Z1 is an array containing the distances from origin to the horizontal frames in Z-direction</t>
  </si>
  <si>
    <t>// defines the function: MakeLeg(X1, X2, Y1, Y2, Z1, "Leg") that creates a regular linear section of a frame structure like a jacket</t>
  </si>
  <si>
    <t>//           X1 is an array containing the distances from origin to the bottom of the legs in X-direction</t>
  </si>
  <si>
    <t>Title:</t>
  </si>
  <si>
    <t>Storegrunn</t>
  </si>
  <si>
    <t>K</t>
  </si>
  <si>
    <t>var xBrace = new Array();</t>
  </si>
  <si>
    <t>var yBrace = new Array();</t>
  </si>
  <si>
    <t>Jacket modelling utility for Genie</t>
  </si>
  <si>
    <t>Material</t>
  </si>
  <si>
    <t>Legs</t>
  </si>
  <si>
    <t>Cross sections</t>
  </si>
  <si>
    <t>Horizontal braces</t>
  </si>
  <si>
    <t>Diagonal braces</t>
  </si>
  <si>
    <t>General data:</t>
  </si>
  <si>
    <t>Steel</t>
  </si>
  <si>
    <t>//  Coordinate arrays</t>
  </si>
  <si>
    <t>Valid</t>
  </si>
  <si>
    <t>St44</t>
  </si>
  <si>
    <t>Pipe800</t>
  </si>
  <si>
    <t>Pipe1000</t>
  </si>
  <si>
    <t xml:space="preserve">//  </t>
  </si>
  <si>
    <t>Valid Section</t>
  </si>
  <si>
    <t>Valid Brace</t>
  </si>
  <si>
    <t>//  Number of Points in X,Y and Z direction</t>
  </si>
  <si>
    <t>var XL = X1.length;</t>
  </si>
  <si>
    <t>var YL = Y1.length;</t>
  </si>
  <si>
    <t>var ZL = Z1.length;</t>
  </si>
  <si>
    <t>//        Print("Zs last element = " +Zs[ZL-1]);</t>
  </si>
  <si>
    <t xml:space="preserve">        </t>
  </si>
  <si>
    <t xml:space="preserve">                Bms1[i].section = Hsection;</t>
  </si>
  <si>
    <t xml:space="preserve">                Bms1[i].material = ThisMaterial;</t>
  </si>
  <si>
    <t>// End of function MakeLeg</t>
  </si>
  <si>
    <t>{</t>
  </si>
  <si>
    <t>var i, j, k;</t>
  </si>
  <si>
    <t xml:space="preserve">                Bms1[i].section = Dsection;</t>
  </si>
  <si>
    <t xml:space="preserve">         }</t>
  </si>
  <si>
    <t>// End function MakeBraceUpX</t>
  </si>
  <si>
    <t>// Creating legs and horizontal frames</t>
  </si>
  <si>
    <t>// Adding braces</t>
  </si>
  <si>
    <t>var NrxBrace = xBrace.length;</t>
  </si>
  <si>
    <t>//    X-direction</t>
  </si>
  <si>
    <t xml:space="preserve">    for (i = 0;i&lt;(NrxBrace); i++)</t>
  </si>
  <si>
    <t xml:space="preserve">         Thisbrace = xBrace[i];</t>
  </si>
  <si>
    <t xml:space="preserve">         // This is due to a scripting error and should be replaced by "if (xBrace[i] == "braceup") "</t>
  </si>
  <si>
    <t xml:space="preserve">         else if (Thisbrace == "kbrace") { Print("K-Brace not implemented"); }</t>
  </si>
  <si>
    <t>//    Y-direction</t>
  </si>
  <si>
    <t xml:space="preserve">    for (i = 0;i&lt;(NryBrace); i++)</t>
  </si>
  <si>
    <t xml:space="preserve">         Thisbrace = yBrace[i];</t>
  </si>
  <si>
    <t xml:space="preserve">         // This is due to a scripting error and should be replaced by "if (yBrace[i] == "braceup") "</t>
  </si>
  <si>
    <t xml:space="preserve">         else if (Thisbrace == "nobrace") {  }</t>
  </si>
  <si>
    <t>&gt;</t>
  </si>
  <si>
    <t>Spacing</t>
  </si>
  <si>
    <t>Elevation</t>
  </si>
  <si>
    <t xml:space="preserve">        var ThisX, ThisY;</t>
  </si>
  <si>
    <t xml:space="preserve">                        {</t>
  </si>
  <si>
    <t xml:space="preserve">                        DelZ = Zs[ZL-2]- Zs[0];</t>
  </si>
  <si>
    <t xml:space="preserve">                        }</t>
  </si>
  <si>
    <t xml:space="preserve">                //                                      </t>
  </si>
  <si>
    <t>var NryBrace = yBrace.length;</t>
  </si>
  <si>
    <t>Z0</t>
  </si>
  <si>
    <t>Spacings</t>
  </si>
  <si>
    <t>X10</t>
  </si>
  <si>
    <t>X-coord</t>
  </si>
  <si>
    <t>Leg</t>
  </si>
  <si>
    <t>Batter or Coord</t>
  </si>
  <si>
    <t>Batter</t>
  </si>
  <si>
    <t>Y-coord</t>
  </si>
  <si>
    <t>Y-Coord</t>
  </si>
  <si>
    <t>Y10</t>
  </si>
  <si>
    <t>Coordinates</t>
  </si>
  <si>
    <t>Valid Materials</t>
  </si>
  <si>
    <t>//   X2-values at top of section</t>
  </si>
  <si>
    <t>//   Y1-values in bottom of section</t>
  </si>
  <si>
    <t>//   Y2-values at top of section</t>
  </si>
  <si>
    <t>//   Z1  elevations</t>
  </si>
  <si>
    <t>//   Braces in X direction</t>
  </si>
  <si>
    <t>//   Braces in Y direction</t>
  </si>
  <si>
    <t>Database Units</t>
  </si>
  <si>
    <t>Length</t>
  </si>
  <si>
    <t>Force</t>
  </si>
  <si>
    <t>Temperature</t>
  </si>
  <si>
    <t>Name Pattern</t>
  </si>
  <si>
    <t>Point</t>
  </si>
  <si>
    <t>X-direction</t>
  </si>
  <si>
    <t>Y-direction</t>
  </si>
  <si>
    <t>Z-direction</t>
  </si>
  <si>
    <t>AA</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</si>
  <si>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</si>
  <si>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</si>
  <si>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</si>
  <si>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</si>
  <si>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</si>
  <si>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</si>
  <si>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</si>
  <si>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</si>
  <si>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</si>
  <si>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</si>
  <si>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</si>
  <si>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</si>
  <si>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</si>
  <si>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</si>
  <si>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</si>
  <si>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</si>
  <si>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</si>
  <si>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</si>
  <si>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</si>
  <si>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</si>
  <si>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</si>
  <si>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</si>
  <si>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</si>
  <si>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</si>
  <si>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</si>
  <si>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</si>
  <si>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</si>
  <si>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</si>
  <si>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</si>
  <si>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</si>
  <si>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</si>
  <si>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</si>
  <si>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</si>
  <si>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</si>
  <si>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</si>
  <si>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</si>
  <si>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Type</t>
  </si>
  <si>
    <t>The names of model objects such as points and beams are</t>
  </si>
  <si>
    <r>
      <t xml:space="preserve">Prefix for each </t>
    </r>
    <r>
      <rPr>
        <b/>
        <sz val="10"/>
        <rFont val="Arial"/>
        <family val="2"/>
      </rPr>
      <t>Type</t>
    </r>
    <r>
      <rPr>
        <sz val="10"/>
        <rFont val="Arial"/>
      </rPr>
      <t xml:space="preserve"> of model object</t>
    </r>
  </si>
  <si>
    <t>47</t>
  </si>
  <si>
    <t>48</t>
  </si>
  <si>
    <t>49</t>
  </si>
  <si>
    <t>50</t>
  </si>
  <si>
    <t>AB</t>
  </si>
  <si>
    <t>AC</t>
  </si>
  <si>
    <t>AD</t>
  </si>
  <si>
    <t>AE</t>
  </si>
  <si>
    <t>AF</t>
  </si>
  <si>
    <t>AG</t>
  </si>
  <si>
    <t>AH</t>
  </si>
  <si>
    <t>AI</t>
  </si>
  <si>
    <t>AJ</t>
  </si>
  <si>
    <t>AK</t>
  </si>
  <si>
    <t>AL</t>
  </si>
  <si>
    <t>AM</t>
  </si>
  <si>
    <t>AN</t>
  </si>
  <si>
    <t>AO</t>
  </si>
  <si>
    <t>AP</t>
  </si>
  <si>
    <t>AQ</t>
  </si>
  <si>
    <t>AR</t>
  </si>
  <si>
    <t>AS</t>
  </si>
  <si>
    <t>AT</t>
  </si>
  <si>
    <t>AU</t>
  </si>
  <si>
    <t>AV</t>
  </si>
  <si>
    <t>AW</t>
  </si>
  <si>
    <t>AY</t>
  </si>
  <si>
    <t>// First 2 characters of object names, denotes type</t>
  </si>
  <si>
    <t>// Characters 3 &amp; 4 of object names, denotes X-dir</t>
  </si>
  <si>
    <t>Horizontal brace X-dir</t>
  </si>
  <si>
    <t>Diagonal brace Down ( \ ) X-dir</t>
  </si>
  <si>
    <t>Horizontal brace Y-dir</t>
  </si>
  <si>
    <t>Diagonal brace Down ( \ ) Y-dir</t>
  </si>
  <si>
    <t>Diagonal brace Up ( / ) X-dir</t>
  </si>
  <si>
    <t>Diagonal brace Up ( / ) Y-dir</t>
  </si>
  <si>
    <t>//           Nam1, Nam2, Nam3 and Nam4 are used to create names of points and beams</t>
  </si>
  <si>
    <t>function MakeLeg (X1s, X2s, Y1s, Y2s, Zs)</t>
  </si>
  <si>
    <t xml:space="preserve">        var XL = X1s.length;</t>
  </si>
  <si>
    <t xml:space="preserve">        var YL = Y1s.length;</t>
  </si>
  <si>
    <t xml:space="preserve">        var ZL = Zs.length;</t>
  </si>
  <si>
    <t xml:space="preserve">    // Stepping throug the legs in X-dir</t>
  </si>
  <si>
    <t xml:space="preserve">         for (i = 0;i&lt; XL; i++)</t>
  </si>
  <si>
    <t xml:space="preserve">              // Stepping up each leg    </t>
  </si>
  <si>
    <t xml:space="preserve">                   for (k = 0; k &lt; ZL; k++)</t>
  </si>
  <si>
    <t xml:space="preserve">                        if (k&lt;(ZL-1))  // The upper part of the leg is vertical</t>
  </si>
  <si>
    <t xml:space="preserve">                        DelX = X2s[i]- X1s[i];</t>
  </si>
  <si>
    <t xml:space="preserve">                        Delz = Zs[k]- Zs[0];</t>
  </si>
  <si>
    <t xml:space="preserve">                        ThisX = X1s[i]+ Delz*DelX/DelZ;</t>
  </si>
  <si>
    <t xml:space="preserve">                        DelY = Y2s[j]- Y1s[j];</t>
  </si>
  <si>
    <t xml:space="preserve">                        ThisY = Y1s[j]+ Delz*DelY/DelZ;</t>
  </si>
  <si>
    <t xml:space="preserve">                        Pts1[k] = Point(ThisX, ThisY, Zs[k]);</t>
  </si>
  <si>
    <t xml:space="preserve">                        Pts1[k].name = Nam1[0] +Nam2[i] +Nam3[j] +Nam4[k] ;</t>
  </si>
  <si>
    <t xml:space="preserve">                //      Print ("Point "+Pts1[k].name +" created");</t>
  </si>
  <si>
    <t xml:space="preserve">                    for (k = 0;k&lt;(ZL-1); k++)</t>
  </si>
  <si>
    <t xml:space="preserve">                        Bms1[k] = Beam(Pts1[k], Pts1[k+1]);</t>
  </si>
  <si>
    <t xml:space="preserve">                        Bms1[k].name = Nam1[1] +Nam2[i] +Nam3[j] +Nam4[k] ;</t>
  </si>
  <si>
    <t xml:space="preserve">                        Bms1[k].section = Legsection;</t>
  </si>
  <si>
    <t xml:space="preserve">                        Bms1[k].material = ThisMaterial;</t>
  </si>
  <si>
    <t xml:space="preserve">         for (i = 0;i&lt; (XL-1); i++)</t>
  </si>
  <si>
    <t xml:space="preserve">                   for (k = 1; k &lt; (ZL-1); k++)  // No bracing at bottom of leg</t>
  </si>
  <si>
    <t xml:space="preserve">                {</t>
  </si>
  <si>
    <t xml:space="preserve">                Bms1[i] = Beam(GetNamedObject(Nam1[0] +Nam2[i] +Nam3[j] +Nam4[k]), GetNamedObject(Nam1[0] +Nam2[i+1] +Nam3[j] +Nam4[k]));</t>
  </si>
  <si>
    <t xml:space="preserve">                Bms1[i].name = Nam1[2] +Nam2[i] +Nam3[j] +Nam4[k] ;</t>
  </si>
  <si>
    <t xml:space="preserve">           //     Print("Brace from " +Nam1[0] +Nam2[i] +Nam3[j] +Nam4[k] +" to " +Nam1[0] +Nam2[i+1] +Nam3[j] +Nam4[k]);</t>
  </si>
  <si>
    <t xml:space="preserve">         for (i = 0;i&lt; (XL); i++)</t>
  </si>
  <si>
    <t xml:space="preserve">                   for (k = 1; k &lt; (ZL-1); k++)</t>
  </si>
  <si>
    <t xml:space="preserve">                Bms1[i] = Beam(GetNamedObject(Nam1[0] +Nam2[i] +Nam3[j] +Nam4[k]), GetNamedObject(Nam1[0] +Nam2[i] +Nam3[j+1] +Nam4[k]));</t>
  </si>
  <si>
    <t xml:space="preserve">                Bms1[i].name = Nam1[3] +Nam2[i] +Nam3[j] +Nam4[k] ;</t>
  </si>
  <si>
    <t>function BraceUpX (Leg)</t>
  </si>
  <si>
    <t>// Creates /-braces from Leg to the next in X-direction</t>
  </si>
  <si>
    <t xml:space="preserve">    i = Leg;</t>
  </si>
  <si>
    <t xml:space="preserve">    for (j = 0; j&lt;(YL); j++)</t>
  </si>
  <si>
    <t xml:space="preserve">        for (k = 1;k&lt;(ZL-2); k++)</t>
  </si>
  <si>
    <t xml:space="preserve">                Bms1[i] = Beam(GetNamedObject(Nam1[0] +Nam2[i] +Nam3[j] +Nam4[k]), GetNamedObject(Nam1[0] +Nam2[i+1] +Nam3[j] +Nam4[k+1]));</t>
  </si>
  <si>
    <t xml:space="preserve">                Bms1[i].name = Nam1[6] +Nam2[i] +Nam3[j] +Nam4[k] ;</t>
  </si>
  <si>
    <t>function BraceDownX (Leg)</t>
  </si>
  <si>
    <t>// Creates \-braces from Leg to the next in X-direction</t>
  </si>
  <si>
    <t xml:space="preserve">                Bms1[i] = Beam(GetNamedObject(Nam1[0] +Nam2[i] +Nam3[j] +Nam4[k+1]), GetNamedObject(Nam1[0] +Nam2[i+1] +Nam3[j] +Nam4[k]));</t>
  </si>
  <si>
    <t xml:space="preserve">                Bms1[i].name = Nam1[4] +Nam2[i] +Nam3[j] +Nam4[k] ;</t>
  </si>
  <si>
    <t>function BraceUpY (Leg)</t>
  </si>
  <si>
    <t>// Creates /-braces from Leg to the next in Y-direction</t>
  </si>
  <si>
    <t xml:space="preserve">    for (i = 0; i &lt;(XL); i++)</t>
  </si>
  <si>
    <t xml:space="preserve">      j = Leg;   </t>
  </si>
  <si>
    <t xml:space="preserve">                Bms1[i] = Beam(GetNamedObject(Nam1[0] +Nam2[i] +Nam3[j] +Nam4[k]), GetNamedObject(Nam1[0] +Nam2[i] +Nam3[j+1] +Nam4[k+1]));</t>
  </si>
  <si>
    <t xml:space="preserve">                Bms1[i].name = Nam1[7] +Nam2[i] +Nam3[j] +Nam4[k] ;</t>
  </si>
  <si>
    <t>function BraceDownY (Leg)</t>
  </si>
  <si>
    <t>// Creates \-braces from Leg1 to the next in Y-direction</t>
  </si>
  <si>
    <t xml:space="preserve">                Bms1[i] = Beam(GetNamedObject(Nam1[0] +Nam2[i] +Nam3[j] +Nam4[k+1]), GetNamedObject(Nam1[0] +Nam2[i] +Nam3[j+1] +Nam4[k]));</t>
  </si>
  <si>
    <t xml:space="preserve">                Bms1[i].name = Nam1[5] +Nam2[i] +Nam3[j] +Nam4[k] ;</t>
  </si>
  <si>
    <t xml:space="preserve">         if (Thisbrace == "braceup") { BraceUpX(i); }</t>
  </si>
  <si>
    <t xml:space="preserve">         else if (Thisbrace == "bracedown") { BraceDownX(i); }</t>
  </si>
  <si>
    <t xml:space="preserve">         else if (Thisbrace == "xbrace") { BraceUpX(i); BraceDownX(i); }</t>
  </si>
  <si>
    <t xml:space="preserve">         if (Thisbrace == "braceup") { BraceUpY(i);}</t>
  </si>
  <si>
    <t xml:space="preserve">         else if (Thisbrace == "bracedown") { BraceDownY(i);}</t>
  </si>
  <si>
    <t xml:space="preserve">         else if (Thisbrace == "xbrace") { BraceUpY(i); BraceDownY(i);}</t>
  </si>
  <si>
    <t xml:space="preserve">        // Stepping throug the legs in Y-dir</t>
  </si>
  <si>
    <t xml:space="preserve">             for (j = 0;j&lt; YL; j++)</t>
  </si>
  <si>
    <t xml:space="preserve">             {</t>
  </si>
  <si>
    <t xml:space="preserve">                }</t>
  </si>
  <si>
    <t xml:space="preserve">             }</t>
  </si>
  <si>
    <t xml:space="preserve">             for (j = 0;j&lt; (YL-1); j++)</t>
  </si>
  <si>
    <t>var Nam1 = new Array();</t>
  </si>
  <si>
    <t>var Nam2 = new Array();</t>
  </si>
  <si>
    <t>var Nam3 = new Array();</t>
  </si>
  <si>
    <t>var Nam4 = new Array();</t>
  </si>
  <si>
    <t>// Characters 5 &amp; 6 of object names, denotes Y-dir</t>
  </si>
  <si>
    <t>// Characters 7 &amp; 8 of object names, denotes Z-dir</t>
  </si>
  <si>
    <t>m</t>
  </si>
  <si>
    <t>Valid Length Units</t>
  </si>
  <si>
    <t>Valid Force Units</t>
  </si>
  <si>
    <t>Valid Temp Units</t>
  </si>
  <si>
    <t>delC</t>
  </si>
  <si>
    <t>GenieRules.Units.setInputUnit(TempDiff,"delC");</t>
  </si>
  <si>
    <t>cm</t>
  </si>
  <si>
    <t>mm</t>
  </si>
  <si>
    <t>ft</t>
  </si>
  <si>
    <t>in</t>
  </si>
  <si>
    <t>N</t>
  </si>
  <si>
    <t>kgf</t>
  </si>
  <si>
    <t>lbf</t>
  </si>
  <si>
    <t>kipf</t>
  </si>
  <si>
    <t>delF</t>
  </si>
  <si>
    <t>GenieRules.Units.setInputUnit(Force,"N");</t>
  </si>
  <si>
    <t>XY-Plane</t>
  </si>
  <si>
    <t>?</t>
  </si>
  <si>
    <t>Lists of string elements used to create model names (?)</t>
  </si>
  <si>
    <t>created by concatenation of 4 string elements.</t>
  </si>
  <si>
    <t>The first string element represent the object type.</t>
  </si>
  <si>
    <t>Second string element represent a step in X-direction</t>
  </si>
  <si>
    <t>Third string element  represent a step in Y-direction</t>
  </si>
  <si>
    <t>Fourth string element  represent a step in Z-direction</t>
  </si>
  <si>
    <t>The 4 string elements are taken from these lists:</t>
  </si>
  <si>
    <r>
      <t xml:space="preserve">Valid cross sections and materials for this project </t>
    </r>
    <r>
      <rPr>
        <b/>
        <u/>
        <sz val="12"/>
        <rFont val="Arial"/>
        <family val="2"/>
      </rPr>
      <t>(?)</t>
    </r>
  </si>
  <si>
    <r>
      <t xml:space="preserve">Filling in series </t>
    </r>
    <r>
      <rPr>
        <b/>
        <sz val="10"/>
        <rFont val="Arial"/>
        <family val="2"/>
      </rPr>
      <t>(?)</t>
    </r>
  </si>
  <si>
    <r>
      <t xml:space="preserve">Number series </t>
    </r>
    <r>
      <rPr>
        <b/>
        <sz val="10"/>
        <rFont val="Arial"/>
        <family val="2"/>
      </rPr>
      <t>(?)</t>
    </r>
  </si>
  <si>
    <t>GenieRules.Units.setDatabaseUnits("m","N","delC");</t>
  </si>
  <si>
    <t>GenieRules.Units.setInputUnit(Length,"m");</t>
  </si>
  <si>
    <t>Genie Executable</t>
  </si>
  <si>
    <t>Pipe2600</t>
  </si>
  <si>
    <t>HBX</t>
  </si>
  <si>
    <t>HBY</t>
  </si>
  <si>
    <t>DXD</t>
  </si>
  <si>
    <t>DYD</t>
  </si>
  <si>
    <t>DXU</t>
  </si>
  <si>
    <t>DYU</t>
  </si>
  <si>
    <t>A</t>
  </si>
  <si>
    <t>B</t>
  </si>
  <si>
    <t>C</t>
  </si>
  <si>
    <t>D</t>
  </si>
  <si>
    <t>E</t>
  </si>
  <si>
    <t>F</t>
  </si>
  <si>
    <t>G</t>
  </si>
  <si>
    <t>H</t>
  </si>
  <si>
    <t>I</t>
  </si>
  <si>
    <t>J</t>
  </si>
  <si>
    <t>L</t>
  </si>
  <si>
    <t>M</t>
  </si>
  <si>
    <t>Nam1[2] = "HBX";</t>
  </si>
  <si>
    <t>Nam1[3] = "HBY";</t>
  </si>
  <si>
    <t>Nam1[4] = "DXD";</t>
  </si>
  <si>
    <t>Nam1[5] = "DYD";</t>
  </si>
  <si>
    <t>Nam1[6] = "DXU";</t>
  </si>
  <si>
    <t>Nam1[7] = "DYU";</t>
  </si>
  <si>
    <t>Nam2[0] = "1";</t>
  </si>
  <si>
    <t>Nam2[1] = "2";</t>
  </si>
  <si>
    <t>Nam2[2] = "3";</t>
  </si>
  <si>
    <t>Nam2[3] = "4";</t>
  </si>
  <si>
    <t>Nam3[0] = "A";</t>
  </si>
  <si>
    <t>Nam3[1] = "B";</t>
  </si>
  <si>
    <t>Nam3[2] = "C";</t>
  </si>
  <si>
    <t>Nam3[3] = "D";</t>
  </si>
  <si>
    <t>PO</t>
  </si>
  <si>
    <t>LE</t>
  </si>
  <si>
    <t>O</t>
  </si>
  <si>
    <t>P</t>
  </si>
  <si>
    <t>Q</t>
  </si>
  <si>
    <t>R</t>
  </si>
  <si>
    <t>S</t>
  </si>
  <si>
    <t>T</t>
  </si>
  <si>
    <t>U</t>
  </si>
  <si>
    <t>V</t>
  </si>
  <si>
    <t>W</t>
  </si>
  <si>
    <t>Y</t>
  </si>
  <si>
    <t>Z</t>
  </si>
  <si>
    <t>Nam1[0] = "PO";</t>
  </si>
  <si>
    <t>Nam1[1] = "LE";</t>
  </si>
  <si>
    <t>YZ-Plane</t>
  </si>
  <si>
    <t>Row</t>
  </si>
  <si>
    <t>Mudline</t>
  </si>
  <si>
    <t>1 (9.80)</t>
  </si>
  <si>
    <t>2 (15.00)</t>
  </si>
  <si>
    <t>3 (25.00)</t>
  </si>
  <si>
    <t>4 (30.20)</t>
  </si>
  <si>
    <t>1 (0.00)</t>
  </si>
  <si>
    <t>4 (40.00)</t>
  </si>
  <si>
    <t>A (12.25)</t>
  </si>
  <si>
    <t>B (25.00)</t>
  </si>
  <si>
    <t>C (34.90)</t>
  </si>
  <si>
    <t>F (24.73)</t>
  </si>
  <si>
    <t>A (0.00)</t>
  </si>
  <si>
    <t>C (35.00)</t>
  </si>
  <si>
    <t>Jacket Wizard for Genie</t>
  </si>
  <si>
    <t>Version</t>
  </si>
  <si>
    <t>P1800x50</t>
  </si>
  <si>
    <t>P1800x50 = PipeSection(1.800m,0.050m);</t>
  </si>
  <si>
    <t>P508x19</t>
  </si>
  <si>
    <t>P600x20</t>
  </si>
  <si>
    <t>P700x30</t>
  </si>
  <si>
    <t>P900x40</t>
  </si>
  <si>
    <t>P1400x40</t>
  </si>
  <si>
    <t>HE240B</t>
  </si>
  <si>
    <t>HE240B = ISection(240mm,240mm,10mm,17mm);</t>
  </si>
  <si>
    <t>HE400B = ISection(400mm,300mm,13.5mm,24mm);</t>
  </si>
  <si>
    <t>HE600B = ISection(600mm,300mm,15.5mm,30mm);</t>
  </si>
  <si>
    <t>HE800B = ISection(800mm,300mm,17.5mm,33mm);</t>
  </si>
  <si>
    <t>HE1000B = ISection(1000mm,300mm,19mm,36mm);</t>
  </si>
  <si>
    <t>HE400B</t>
  </si>
  <si>
    <t>HE600B</t>
  </si>
  <si>
    <t>HE800B</t>
  </si>
  <si>
    <t>HE1000B</t>
  </si>
  <si>
    <t>IPE300</t>
  </si>
  <si>
    <t>IPE400</t>
  </si>
  <si>
    <t>IPE300 = ISection(300mm,150mm,7.1mm,10.7mm);</t>
  </si>
  <si>
    <t>IPE600</t>
  </si>
  <si>
    <t>IPE400 = ISection(400mm,180mm,8.6mm,13.5mm);</t>
  </si>
  <si>
    <t>IPE600 = ISection(600mm,220mm,12.0mm,19.0mm);</t>
  </si>
  <si>
    <t>IPE500</t>
  </si>
  <si>
    <t>IPE500 = ISection(500mm,200mm,10.2mm,16.0mm);</t>
  </si>
  <si>
    <t>St37</t>
  </si>
  <si>
    <t>St52</t>
  </si>
  <si>
    <t>St37 = Material(225E6N/m2, 7.85tonne/m3, 2.1E11N/m2, 0.3, 1.2E-5delC^-1, 0.03N*s/m);</t>
  </si>
  <si>
    <t>St44 = Material(265E6N/m2, 7.85tonne/m3, 2.1E11N/m2, 0.3, 1.2E-5delC^-1, 0.03N*s/m);</t>
  </si>
  <si>
    <t>St52 = Material(345E6N/m2, 7.85tonne/m3, 2.1E11N/m2, 0.3, 1.2E-5delC^-1, 0.03N*s/m);</t>
  </si>
  <si>
    <t>P508x19 = PipeSection(0.508m,0.019m);</t>
  </si>
  <si>
    <t>P600x20 = PipeSection(0.600m,0.020m);</t>
  </si>
  <si>
    <t>P700x30 = PipeSection(0.700m,0.030m);</t>
  </si>
  <si>
    <t>P900x40 = PipeSection(0.900m,0.040m);</t>
  </si>
  <si>
    <t>P1400x40 = PipeSection(1.400m,0.040m);</t>
  </si>
  <si>
    <t>Hsection = P900x40;</t>
  </si>
  <si>
    <t>Dsection = P600x20;</t>
  </si>
  <si>
    <t>Z23</t>
  </si>
  <si>
    <t>Z24</t>
  </si>
  <si>
    <t>Z25</t>
  </si>
  <si>
    <t>Z26</t>
  </si>
  <si>
    <t>Z27</t>
  </si>
  <si>
    <t>Z28</t>
  </si>
  <si>
    <t>Z29</t>
  </si>
  <si>
    <t>Z30</t>
  </si>
  <si>
    <t>Nam4[1] = "Z1";</t>
  </si>
  <si>
    <t>Nam4[2] = "Z2";</t>
  </si>
  <si>
    <t>Nam4[4] = "Z4";</t>
  </si>
  <si>
    <t>Nam4[5] = "Z5";</t>
  </si>
  <si>
    <t>Nam4[6] = "Z6";</t>
  </si>
  <si>
    <t>Nam4[7] = "Z7";</t>
  </si>
  <si>
    <t>Nam4[8] = "Z8";</t>
  </si>
  <si>
    <t>Nam4[9] = "Z9";</t>
  </si>
  <si>
    <t>Nam4[10] = "Z10";</t>
  </si>
  <si>
    <t>Z0 (-83.00)</t>
  </si>
  <si>
    <t>Z1 (-75.00)</t>
  </si>
  <si>
    <t>Z2 (-60.00)</t>
  </si>
  <si>
    <t>Z3 (-46.50)</t>
  </si>
  <si>
    <t>Z4 (-34.35)</t>
  </si>
  <si>
    <t>Z5 (-23.42)</t>
  </si>
  <si>
    <t>Z6 (-13.57)</t>
  </si>
  <si>
    <t>Z7 (-4.72)</t>
  </si>
  <si>
    <t>Z8 (5.00)</t>
  </si>
  <si>
    <t>Z9 (15.00)</t>
  </si>
  <si>
    <t>Z10 (25.00)</t>
  </si>
  <si>
    <t>ThisMaterial = St44;</t>
  </si>
  <si>
    <t>Legsection = P1400x40;</t>
  </si>
  <si>
    <t>Btm</t>
  </si>
  <si>
    <t>X1[0] = -23;</t>
  </si>
  <si>
    <t>Z1[0] = -128.987;</t>
  </si>
  <si>
    <t>Nam4[0] = "Btm";</t>
  </si>
  <si>
    <t>Nam4[3] = "Z3";</t>
  </si>
  <si>
    <t>X1[1] = 12;</t>
  </si>
  <si>
    <t>X1[2] = 34;</t>
  </si>
  <si>
    <t>X2[0] = -7.898091736;</t>
  </si>
  <si>
    <t>X2[1] = 12;</t>
  </si>
  <si>
    <t>X2[2] = 18.898091736;</t>
  </si>
  <si>
    <t>Y1[0] = -45;</t>
  </si>
  <si>
    <t>Y1[1] = -20;</t>
  </si>
  <si>
    <t>Y1[2] = -5;</t>
  </si>
  <si>
    <t>Y1[3] = 20;</t>
  </si>
  <si>
    <t>Y2[0] = -29.898091736;</t>
  </si>
  <si>
    <t>Y2[1] = -20;</t>
  </si>
  <si>
    <t>Y2[2] = -5;</t>
  </si>
  <si>
    <t>Y2[3] = 4.898091736;</t>
  </si>
  <si>
    <t>Z1[1] = -124.987;</t>
  </si>
  <si>
    <t>Z1[2] = -100.987;</t>
  </si>
  <si>
    <t>Z1[3] = -79.387;</t>
  </si>
  <si>
    <t>Z1[4] = -59.947;</t>
  </si>
  <si>
    <t>Z1[5] = -42.451;</t>
  </si>
  <si>
    <t>Z1[6] = -26.7046;</t>
  </si>
  <si>
    <t>Z1[7] = -12.53284;</t>
  </si>
  <si>
    <t>Z1[8] = 0.221744000000006;</t>
  </si>
  <si>
    <t>Z1[9] = 11.7008696;</t>
  </si>
  <si>
    <t>Z1[10] = 22.03208264;</t>
  </si>
  <si>
    <t>Z1[11] = 26.03208264;</t>
  </si>
  <si>
    <t>xBrace[0] = "bracedown";</t>
  </si>
  <si>
    <t>xBrace[1] = "braceup";</t>
  </si>
  <si>
    <t>yBrace[0] = "bracedown";</t>
  </si>
  <si>
    <t>yBrace[1] = "xbrace";</t>
  </si>
  <si>
    <t>yBrace[2] = "braceup";</t>
  </si>
  <si>
    <t>Nam2[4] = "5";</t>
  </si>
  <si>
    <t>Nam3[4] = "E";</t>
  </si>
  <si>
    <t>Nam3[5] = "F";</t>
  </si>
  <si>
    <t>Nam4[11] = "Z11";</t>
  </si>
  <si>
    <t>Nam4[12] = "Z12";</t>
  </si>
  <si>
    <t>Nam4[13] = "Z13";</t>
  </si>
  <si>
    <t>1.0-03</t>
  </si>
  <si>
    <t>MyJacket</t>
  </si>
  <si>
    <t>// Genie input file for jacket MyJacket</t>
  </si>
  <si>
    <t>C:\Program Files\DNVS\GeniE V6.4-08\Program\GenieR.exe</t>
  </si>
  <si>
    <t>// Created 09/04/2013 at 12:49:45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</si>
</sst>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0" formatCode="_(&quot;kr&quot;\ * #,##0.00_);_(&quot;kr&quot;\ * \(#,##0.00\);_(&quot;kr&quot;\ * &quot;-&quot;??_);_(@_)"/>
  </numFmts>
  <fonts count="14" x14ac:knownFonts="1">
    <font>
      <sz val="10"/>
      <name val="Arial"/>
    </font>
    <font>
      <sz val="10"/>
      <name val="Arial"/>
    </font>
    <font>
      <sz val="8"/>
      <name val="Arial"/>
    </font>
    <font>
      <b/>
      <sz val="10"/>
      <name val="Arial"/>
      <family val="2"/>
    </font>
    <font>
      <b/>
      <sz val="14"/>
      <name val="Arial"/>
      <family val="2"/>
    </font>
    <font>
      <sz val="14"/>
      <name val="Arial"/>
      <family val="2"/>
    </font>
    <font>
      <b/>
      <sz val="8"/>
      <name val="Arial"/>
      <family val="2"/>
    </font>
    <font>
      <b/>
      <sz val="12"/>
      <name val="Arial"/>
      <family val="2"/>
    </font>
    <font>
      <sz val="10"/>
      <name val="Arial"/>
      <family val="2"/>
    </font>
    <font>
      <sz val="12"/>
      <name val="Arial"/>
    </font>
    <font>
      <u/>
      <sz val="12"/>
      <name val="Arial"/>
      <family val="2"/>
    </font>
    <font>
      <b/>
      <u/>
      <sz val="12"/>
      <name val="Arial"/>
      <family val="2"/>
    </font>
    <font>
      <sz val="12"/>
      <name val="Arial"/>
      <family val="2"/>
    </font>
    <font>
      <b/>
      <sz val="10"/>
      <name val="Arial"/>
    </font>
  </fonts>
  <fills count="7">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rgb="FFFFFFFF"/>
        <bgColor indexed="64"/>
      </patternFill>
    </fill>
    <fill>
      <patternFill patternType="solid">
        <fgColor rgb="FFC8C8C8"/>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s>
  <cellStyleXfs count="2">
    <xf numFmtId="0" fontId="0" fillId="0" borderId="0"/>
    <xf numFmtId="170" fontId="1" fillId="0" borderId="0" applyFont="0" applyFill="0" applyBorder="0" applyAlignment="0" applyProtection="0"/>
  </cellStyleXfs>
  <cellXfs count="263">
    <xf numFmtId="0" fontId="0" fillId="0" borderId="0" xfId="0"/>
    <xf numFmtId="0" fontId="3" fillId="2" borderId="1" xfId="0" applyNumberFormat="1" applyFont="1" applyFill="1" applyBorder="1" applyAlignment="1">
      <alignment horizontal="center"/>
    </xf>
    <xf numFmtId="0" fontId="3" fillId="2" borderId="2" xfId="0" applyNumberFormat="1" applyFont="1" applyFill="1" applyBorder="1" applyAlignment="1">
      <alignment horizontal="center"/>
    </xf>
    <xf numFmtId="2" fontId="0" fillId="2" borderId="1" xfId="1" applyNumberFormat="1" applyFont="1" applyFill="1" applyBorder="1" applyAlignment="1">
      <alignment horizontal="center"/>
    </xf>
    <xf numFmtId="0" fontId="0" fillId="3" borderId="0" xfId="0" applyNumberFormat="1" applyFill="1"/>
    <xf numFmtId="0" fontId="0" fillId="3" borderId="0" xfId="0" applyNumberFormat="1" applyFill="1" applyAlignment="1">
      <alignment horizontal="center"/>
    </xf>
    <xf numFmtId="0" fontId="0" fillId="3" borderId="0" xfId="1" applyNumberFormat="1" applyFont="1" applyFill="1"/>
    <xf numFmtId="0" fontId="0" fillId="3" borderId="0" xfId="0" applyNumberFormat="1" applyFill="1" applyAlignment="1">
      <alignment horizontal="right"/>
    </xf>
    <xf numFmtId="0" fontId="0" fillId="3" borderId="0" xfId="1" applyNumberFormat="1" applyFont="1" applyFill="1" applyAlignment="1">
      <alignment horizontal="center"/>
    </xf>
    <xf numFmtId="0" fontId="0" fillId="3" borderId="0" xfId="0" applyNumberFormat="1" applyFill="1" applyBorder="1" applyAlignment="1">
      <alignment horizontal="center"/>
    </xf>
    <xf numFmtId="0" fontId="0" fillId="3" borderId="3" xfId="0" applyNumberFormat="1" applyFill="1" applyBorder="1" applyAlignment="1">
      <alignment horizontal="center"/>
    </xf>
    <xf numFmtId="0" fontId="0" fillId="3" borderId="3" xfId="0" quotePrefix="1" applyNumberFormat="1" applyFill="1" applyBorder="1" applyAlignment="1">
      <alignment horizontal="center"/>
    </xf>
    <xf numFmtId="0" fontId="0" fillId="3" borderId="4" xfId="0" quotePrefix="1" applyNumberFormat="1" applyFill="1" applyBorder="1" applyAlignment="1">
      <alignment horizontal="center"/>
    </xf>
    <xf numFmtId="0" fontId="0" fillId="2" borderId="0" xfId="0" applyNumberFormat="1" applyFill="1"/>
    <xf numFmtId="0" fontId="0" fillId="2" borderId="0" xfId="1" applyNumberFormat="1" applyFont="1" applyFill="1"/>
    <xf numFmtId="0" fontId="4" fillId="2" borderId="1" xfId="1" applyNumberFormat="1" applyFont="1" applyFill="1" applyBorder="1" applyAlignment="1">
      <alignment horizontal="left"/>
    </xf>
    <xf numFmtId="0" fontId="0" fillId="2" borderId="5" xfId="0" applyNumberFormat="1" applyFill="1" applyBorder="1" applyAlignment="1">
      <alignment horizontal="center"/>
    </xf>
    <xf numFmtId="0" fontId="0" fillId="2" borderId="6" xfId="0" applyNumberFormat="1" applyFill="1" applyBorder="1" applyAlignment="1">
      <alignment horizontal="center"/>
    </xf>
    <xf numFmtId="0" fontId="0" fillId="2" borderId="7" xfId="0" applyNumberFormat="1" applyFill="1" applyBorder="1" applyAlignment="1">
      <alignment horizontal="center"/>
    </xf>
    <xf numFmtId="0" fontId="0" fillId="2" borderId="8" xfId="0" applyNumberFormat="1" applyFill="1" applyBorder="1" applyAlignment="1">
      <alignment horizontal="center"/>
    </xf>
    <xf numFmtId="0" fontId="0" fillId="2" borderId="9" xfId="0" applyNumberFormat="1" applyFill="1" applyBorder="1"/>
    <xf numFmtId="0" fontId="0" fillId="2" borderId="10" xfId="0" applyNumberFormat="1" applyFill="1" applyBorder="1"/>
    <xf numFmtId="0" fontId="3" fillId="2" borderId="9" xfId="0" applyNumberFormat="1" applyFont="1" applyFill="1" applyBorder="1"/>
    <xf numFmtId="0" fontId="3" fillId="3" borderId="0" xfId="0" applyNumberFormat="1" applyFont="1" applyFill="1" applyAlignment="1">
      <alignment horizontal="left"/>
    </xf>
    <xf numFmtId="0" fontId="0" fillId="3" borderId="2" xfId="0" applyNumberFormat="1" applyFill="1" applyBorder="1" applyAlignment="1">
      <alignment horizontal="center"/>
    </xf>
    <xf numFmtId="0" fontId="3" fillId="3" borderId="0" xfId="0" applyNumberFormat="1" applyFont="1" applyFill="1" applyBorder="1" applyAlignment="1">
      <alignment horizontal="left"/>
    </xf>
    <xf numFmtId="0" fontId="5" fillId="2" borderId="7" xfId="1" applyNumberFormat="1" applyFont="1" applyFill="1" applyBorder="1" applyAlignment="1">
      <alignment horizontal="left"/>
    </xf>
    <xf numFmtId="0" fontId="6" fillId="2" borderId="2" xfId="0" applyNumberFormat="1" applyFont="1" applyFill="1" applyBorder="1" applyAlignment="1">
      <alignment horizontal="center"/>
    </xf>
    <xf numFmtId="0" fontId="0" fillId="2" borderId="1" xfId="0" applyNumberFormat="1" applyFill="1" applyBorder="1" applyAlignment="1">
      <alignment horizontal="center" vertical="center"/>
    </xf>
    <xf numFmtId="0" fontId="3" fillId="2" borderId="3" xfId="0" applyNumberFormat="1" applyFont="1" applyFill="1" applyBorder="1" applyAlignment="1">
      <alignment horizontal="center"/>
    </xf>
    <xf numFmtId="2" fontId="0" fillId="2" borderId="10" xfId="1" applyNumberFormat="1" applyFont="1" applyFill="1" applyBorder="1" applyAlignment="1">
      <alignment horizontal="center"/>
    </xf>
    <xf numFmtId="2" fontId="0" fillId="2" borderId="8" xfId="1" applyNumberFormat="1" applyFont="1" applyFill="1" applyBorder="1" applyAlignment="1">
      <alignment horizontal="center"/>
    </xf>
    <xf numFmtId="2" fontId="0" fillId="2" borderId="9" xfId="1" applyNumberFormat="1" applyFont="1" applyFill="1" applyBorder="1" applyAlignment="1">
      <alignment horizontal="center"/>
    </xf>
    <xf numFmtId="0" fontId="3" fillId="2" borderId="9" xfId="0" applyNumberFormat="1" applyFont="1" applyFill="1" applyBorder="1" applyAlignment="1">
      <alignment horizontal="center"/>
    </xf>
    <xf numFmtId="2" fontId="0" fillId="2" borderId="5" xfId="1" applyNumberFormat="1" applyFont="1" applyFill="1" applyBorder="1" applyAlignment="1">
      <alignment horizontal="center"/>
    </xf>
    <xf numFmtId="0" fontId="3" fillId="3" borderId="0" xfId="0" applyNumberFormat="1" applyFont="1" applyFill="1" applyAlignment="1">
      <alignment horizontal="center"/>
    </xf>
    <xf numFmtId="0" fontId="0" fillId="4" borderId="0" xfId="0" applyNumberFormat="1" applyFill="1"/>
    <xf numFmtId="0" fontId="0" fillId="4" borderId="0" xfId="1" applyNumberFormat="1" applyFont="1" applyFill="1"/>
    <xf numFmtId="2" fontId="0" fillId="2" borderId="2" xfId="1" applyNumberFormat="1" applyFont="1" applyFill="1" applyBorder="1" applyAlignment="1">
      <alignment horizontal="center"/>
    </xf>
    <xf numFmtId="0" fontId="0" fillId="2" borderId="1" xfId="0" applyNumberFormat="1" applyFill="1" applyBorder="1"/>
    <xf numFmtId="0" fontId="3" fillId="3" borderId="0" xfId="0" applyNumberFormat="1" applyFont="1" applyFill="1" applyBorder="1" applyAlignment="1">
      <alignment horizontal="center"/>
    </xf>
    <xf numFmtId="0" fontId="0" fillId="3" borderId="1" xfId="0" applyNumberFormat="1" applyFill="1" applyBorder="1" applyAlignment="1">
      <alignment horizontal="center"/>
    </xf>
    <xf numFmtId="0" fontId="8" fillId="2" borderId="9" xfId="0" applyNumberFormat="1" applyFont="1" applyFill="1" applyBorder="1" applyAlignment="1">
      <alignment horizontal="center"/>
    </xf>
    <xf numFmtId="0" fontId="8" fillId="2" borderId="11" xfId="0" applyNumberFormat="1" applyFont="1" applyFill="1" applyBorder="1" applyAlignment="1">
      <alignment horizontal="center"/>
    </xf>
    <xf numFmtId="2" fontId="0" fillId="2" borderId="12" xfId="1" applyNumberFormat="1" applyFont="1" applyFill="1" applyBorder="1" applyAlignment="1">
      <alignment horizontal="center"/>
    </xf>
    <xf numFmtId="0" fontId="3" fillId="2" borderId="4" xfId="0" applyNumberFormat="1" applyFont="1" applyFill="1" applyBorder="1" applyAlignment="1">
      <alignment horizontal="center"/>
    </xf>
    <xf numFmtId="0" fontId="7" fillId="3" borderId="0" xfId="0" applyNumberFormat="1" applyFont="1" applyFill="1" applyAlignment="1">
      <alignment horizontal="center"/>
    </xf>
    <xf numFmtId="0" fontId="0" fillId="4" borderId="1" xfId="0" applyNumberFormat="1" applyFill="1" applyBorder="1" applyProtection="1">
      <protection locked="0"/>
    </xf>
    <xf numFmtId="0" fontId="0" fillId="3" borderId="0" xfId="0" applyFill="1"/>
    <xf numFmtId="0" fontId="0" fillId="3" borderId="0" xfId="0" applyFill="1" applyBorder="1"/>
    <xf numFmtId="0" fontId="0" fillId="3" borderId="0" xfId="0" applyFill="1" applyBorder="1" applyProtection="1">
      <protection locked="0"/>
    </xf>
    <xf numFmtId="0" fontId="0" fillId="3" borderId="0" xfId="0" quotePrefix="1" applyFill="1" applyBorder="1" applyAlignment="1" applyProtection="1">
      <alignment horizontal="center"/>
      <protection locked="0"/>
    </xf>
    <xf numFmtId="0" fontId="0" fillId="3" borderId="0" xfId="0" applyFill="1" applyBorder="1" applyAlignment="1" applyProtection="1">
      <alignment horizontal="center"/>
      <protection locked="0"/>
    </xf>
    <xf numFmtId="0" fontId="0" fillId="3" borderId="0" xfId="0" applyFill="1" applyProtection="1">
      <protection locked="0"/>
    </xf>
    <xf numFmtId="0" fontId="0" fillId="4" borderId="3" xfId="0" applyFill="1" applyBorder="1" applyProtection="1">
      <protection locked="0"/>
    </xf>
    <xf numFmtId="0" fontId="0" fillId="4" borderId="4" xfId="0" applyFill="1" applyBorder="1" applyProtection="1">
      <protection locked="0"/>
    </xf>
    <xf numFmtId="0" fontId="3" fillId="2" borderId="9" xfId="0" applyFont="1" applyFill="1" applyBorder="1"/>
    <xf numFmtId="0" fontId="3" fillId="2" borderId="1" xfId="0" applyFont="1" applyFill="1" applyBorder="1"/>
    <xf numFmtId="0" fontId="0" fillId="2" borderId="0" xfId="0" applyFill="1"/>
    <xf numFmtId="0" fontId="0" fillId="2" borderId="1" xfId="0" applyFill="1" applyBorder="1" applyAlignment="1">
      <alignment horizontal="right"/>
    </xf>
    <xf numFmtId="0" fontId="0" fillId="2" borderId="0" xfId="0" applyFill="1" applyBorder="1"/>
    <xf numFmtId="0" fontId="0" fillId="4" borderId="3" xfId="0" applyFill="1" applyBorder="1" applyAlignment="1" applyProtection="1">
      <alignment horizontal="center"/>
      <protection locked="0"/>
    </xf>
    <xf numFmtId="0" fontId="0" fillId="4" borderId="3" xfId="0" quotePrefix="1" applyFill="1" applyBorder="1" applyAlignment="1" applyProtection="1">
      <alignment horizontal="center"/>
      <protection locked="0"/>
    </xf>
    <xf numFmtId="0" fontId="0" fillId="4" borderId="2" xfId="0" applyFill="1" applyBorder="1" applyProtection="1">
      <protection locked="0"/>
    </xf>
    <xf numFmtId="0" fontId="0" fillId="2" borderId="2" xfId="0" applyFill="1" applyBorder="1" applyAlignment="1">
      <alignment horizontal="right"/>
    </xf>
    <xf numFmtId="0" fontId="0" fillId="2" borderId="3" xfId="0" applyFill="1" applyBorder="1" applyAlignment="1">
      <alignment horizontal="right"/>
    </xf>
    <xf numFmtId="0" fontId="0" fillId="2" borderId="3" xfId="0" applyFill="1" applyBorder="1"/>
    <xf numFmtId="0" fontId="0" fillId="2" borderId="4" xfId="0" applyFill="1" applyBorder="1"/>
    <xf numFmtId="0" fontId="3" fillId="2" borderId="13" xfId="0" applyFont="1" applyFill="1" applyBorder="1"/>
    <xf numFmtId="0" fontId="9" fillId="3" borderId="0" xfId="0" applyFont="1" applyFill="1"/>
    <xf numFmtId="0" fontId="10" fillId="2" borderId="0" xfId="0" applyFont="1" applyFill="1"/>
    <xf numFmtId="0" fontId="0" fillId="2" borderId="0" xfId="0" applyFill="1" applyProtection="1"/>
    <xf numFmtId="0" fontId="0" fillId="2" borderId="0" xfId="0" quotePrefix="1" applyFill="1"/>
    <xf numFmtId="0" fontId="4" fillId="2" borderId="9" xfId="1" applyNumberFormat="1" applyFont="1" applyFill="1" applyBorder="1" applyAlignment="1">
      <alignment horizontal="left"/>
    </xf>
    <xf numFmtId="0" fontId="0" fillId="2" borderId="11" xfId="0" applyNumberFormat="1" applyFill="1" applyBorder="1" applyAlignment="1">
      <alignment horizontal="center"/>
    </xf>
    <xf numFmtId="0" fontId="0" fillId="3" borderId="0" xfId="0" applyNumberFormat="1" applyFill="1" applyAlignment="1" applyProtection="1"/>
    <xf numFmtId="0" fontId="0" fillId="3" borderId="0" xfId="0" applyNumberFormat="1" applyFill="1" applyProtection="1"/>
    <xf numFmtId="0" fontId="7" fillId="3" borderId="0" xfId="0" applyNumberFormat="1" applyFont="1" applyFill="1" applyAlignment="1">
      <alignment horizontal="left"/>
    </xf>
    <xf numFmtId="0" fontId="0" fillId="4" borderId="1" xfId="0" applyFill="1" applyBorder="1" applyProtection="1">
      <protection locked="0"/>
    </xf>
    <xf numFmtId="0" fontId="12" fillId="2" borderId="1" xfId="0" applyFont="1" applyFill="1" applyBorder="1"/>
    <xf numFmtId="2" fontId="0" fillId="2" borderId="8" xfId="1" applyNumberFormat="1" applyFont="1" applyFill="1" applyBorder="1" applyAlignment="1" applyProtection="1">
      <alignment horizontal="center"/>
    </xf>
    <xf numFmtId="0" fontId="3" fillId="2" borderId="3" xfId="0" applyNumberFormat="1" applyFont="1" applyFill="1" applyBorder="1" applyAlignment="1" applyProtection="1">
      <alignment horizontal="center"/>
    </xf>
    <xf numFmtId="0" fontId="4" fillId="2" borderId="1" xfId="1" applyNumberFormat="1" applyFont="1" applyFill="1" applyBorder="1" applyAlignment="1" applyProtection="1">
      <alignment horizontal="left"/>
    </xf>
    <xf numFmtId="0" fontId="0" fillId="3" borderId="0" xfId="0" applyNumberFormat="1" applyFill="1" applyAlignment="1" applyProtection="1">
      <alignment horizontal="center"/>
    </xf>
    <xf numFmtId="0" fontId="4" fillId="2" borderId="9" xfId="1" applyNumberFormat="1" applyFont="1" applyFill="1" applyBorder="1" applyAlignment="1" applyProtection="1">
      <alignment horizontal="left"/>
    </xf>
    <xf numFmtId="0" fontId="0" fillId="2" borderId="11" xfId="0" applyNumberFormat="1" applyFill="1" applyBorder="1" applyAlignment="1" applyProtection="1">
      <alignment horizontal="center"/>
    </xf>
    <xf numFmtId="0" fontId="0" fillId="2" borderId="10" xfId="0" applyNumberFormat="1" applyFill="1" applyBorder="1" applyAlignment="1" applyProtection="1">
      <alignment horizontal="center"/>
    </xf>
    <xf numFmtId="0" fontId="7" fillId="3" borderId="0" xfId="0" applyNumberFormat="1" applyFont="1" applyFill="1" applyAlignment="1" applyProtection="1">
      <alignment horizontal="center"/>
    </xf>
    <xf numFmtId="0" fontId="7" fillId="3" borderId="0" xfId="0" applyNumberFormat="1" applyFont="1" applyFill="1" applyAlignment="1" applyProtection="1">
      <alignment horizontal="left"/>
    </xf>
    <xf numFmtId="0" fontId="5" fillId="2" borderId="7" xfId="1" applyNumberFormat="1" applyFont="1" applyFill="1" applyBorder="1" applyAlignment="1" applyProtection="1">
      <alignment horizontal="left"/>
    </xf>
    <xf numFmtId="0" fontId="0" fillId="3" borderId="0" xfId="1" applyNumberFormat="1" applyFont="1" applyFill="1" applyProtection="1"/>
    <xf numFmtId="0" fontId="3" fillId="2" borderId="9" xfId="0" applyNumberFormat="1" applyFont="1" applyFill="1" applyBorder="1" applyProtection="1"/>
    <xf numFmtId="0" fontId="0" fillId="2" borderId="10" xfId="0" applyNumberFormat="1" applyFill="1" applyBorder="1" applyProtection="1"/>
    <xf numFmtId="2" fontId="0" fillId="2" borderId="1" xfId="1" applyNumberFormat="1" applyFont="1" applyFill="1" applyBorder="1" applyAlignment="1" applyProtection="1">
      <alignment horizontal="center"/>
    </xf>
    <xf numFmtId="0" fontId="3" fillId="2" borderId="1" xfId="0" applyNumberFormat="1" applyFont="1" applyFill="1" applyBorder="1" applyAlignment="1" applyProtection="1">
      <alignment horizontal="center"/>
    </xf>
    <xf numFmtId="0" fontId="3" fillId="2" borderId="9" xfId="0" applyNumberFormat="1" applyFont="1" applyFill="1" applyBorder="1" applyAlignment="1" applyProtection="1">
      <alignment horizontal="center"/>
    </xf>
    <xf numFmtId="0" fontId="0" fillId="4" borderId="1" xfId="0" applyNumberFormat="1" applyFill="1" applyBorder="1" applyProtection="1"/>
    <xf numFmtId="2" fontId="0" fillId="2" borderId="2" xfId="1" applyNumberFormat="1" applyFont="1" applyFill="1" applyBorder="1" applyAlignment="1" applyProtection="1">
      <alignment horizontal="center"/>
    </xf>
    <xf numFmtId="2" fontId="0" fillId="2" borderId="5" xfId="1" applyNumberFormat="1" applyFont="1" applyFill="1" applyBorder="1" applyAlignment="1" applyProtection="1">
      <alignment horizontal="center"/>
    </xf>
    <xf numFmtId="0" fontId="0" fillId="2" borderId="9" xfId="0" applyNumberFormat="1" applyFill="1" applyBorder="1" applyProtection="1"/>
    <xf numFmtId="0" fontId="0" fillId="2" borderId="5" xfId="0" applyNumberFormat="1" applyFill="1" applyBorder="1" applyAlignment="1" applyProtection="1">
      <alignment horizontal="center"/>
    </xf>
    <xf numFmtId="0" fontId="0" fillId="2" borderId="6" xfId="0" applyNumberFormat="1" applyFill="1" applyBorder="1" applyAlignment="1" applyProtection="1">
      <alignment horizontal="center"/>
    </xf>
    <xf numFmtId="0" fontId="8" fillId="2" borderId="11" xfId="0" applyNumberFormat="1" applyFont="1" applyFill="1" applyBorder="1" applyAlignment="1" applyProtection="1">
      <alignment horizontal="center"/>
    </xf>
    <xf numFmtId="0" fontId="0" fillId="2" borderId="1" xfId="0" applyNumberFormat="1" applyFill="1" applyBorder="1" applyAlignment="1" applyProtection="1">
      <alignment horizontal="center" vertical="center"/>
    </xf>
    <xf numFmtId="2" fontId="0" fillId="2" borderId="9" xfId="1" applyNumberFormat="1" applyFont="1" applyFill="1" applyBorder="1" applyAlignment="1" applyProtection="1">
      <alignment horizontal="center"/>
    </xf>
    <xf numFmtId="0" fontId="0" fillId="2" borderId="7" xfId="0" applyNumberFormat="1" applyFill="1" applyBorder="1" applyAlignment="1" applyProtection="1">
      <alignment horizontal="center"/>
    </xf>
    <xf numFmtId="0" fontId="0" fillId="2" borderId="8" xfId="0" applyNumberFormat="1" applyFill="1" applyBorder="1" applyAlignment="1" applyProtection="1">
      <alignment horizontal="center"/>
    </xf>
    <xf numFmtId="2" fontId="0" fillId="2" borderId="12" xfId="1" applyNumberFormat="1" applyFont="1" applyFill="1" applyBorder="1" applyAlignment="1" applyProtection="1">
      <alignment horizontal="center"/>
    </xf>
    <xf numFmtId="0" fontId="3" fillId="2" borderId="4" xfId="0" applyNumberFormat="1" applyFont="1" applyFill="1" applyBorder="1" applyAlignment="1" applyProtection="1">
      <alignment horizontal="center"/>
    </xf>
    <xf numFmtId="0" fontId="0" fillId="2" borderId="0" xfId="0" applyNumberFormat="1" applyFill="1" applyProtection="1"/>
    <xf numFmtId="0" fontId="0" fillId="4" borderId="0" xfId="0" applyNumberFormat="1" applyFill="1" applyProtection="1"/>
    <xf numFmtId="0" fontId="0" fillId="2" borderId="1" xfId="0" applyNumberFormat="1" applyFill="1" applyBorder="1" applyProtection="1"/>
    <xf numFmtId="0" fontId="3" fillId="2" borderId="2" xfId="0" applyNumberFormat="1" applyFont="1" applyFill="1" applyBorder="1" applyAlignment="1" applyProtection="1">
      <alignment horizontal="center"/>
    </xf>
    <xf numFmtId="0" fontId="0" fillId="4" borderId="0" xfId="1" applyNumberFormat="1" applyFont="1" applyFill="1" applyProtection="1"/>
    <xf numFmtId="0" fontId="0" fillId="2" borderId="0" xfId="1" applyNumberFormat="1" applyFont="1" applyFill="1" applyProtection="1"/>
    <xf numFmtId="0" fontId="6" fillId="2" borderId="2" xfId="0" applyNumberFormat="1" applyFont="1" applyFill="1" applyBorder="1" applyAlignment="1" applyProtection="1">
      <alignment horizontal="center"/>
    </xf>
    <xf numFmtId="0" fontId="0" fillId="3" borderId="0" xfId="0" applyNumberFormat="1" applyFill="1" applyAlignment="1" applyProtection="1">
      <alignment horizontal="right"/>
    </xf>
    <xf numFmtId="0" fontId="8" fillId="2" borderId="9" xfId="0" applyNumberFormat="1" applyFont="1" applyFill="1" applyBorder="1" applyAlignment="1" applyProtection="1">
      <alignment horizontal="center"/>
    </xf>
    <xf numFmtId="2" fontId="0" fillId="2" borderId="10" xfId="1" applyNumberFormat="1" applyFont="1" applyFill="1" applyBorder="1" applyAlignment="1" applyProtection="1">
      <alignment horizontal="center"/>
    </xf>
    <xf numFmtId="0" fontId="0" fillId="3" borderId="0" xfId="1" applyNumberFormat="1" applyFont="1" applyFill="1" applyAlignment="1" applyProtection="1">
      <alignment horizontal="center"/>
    </xf>
    <xf numFmtId="0" fontId="13" fillId="2" borderId="11" xfId="0" applyNumberFormat="1" applyFont="1" applyFill="1" applyBorder="1" applyAlignment="1">
      <alignment horizontal="center" vertical="center"/>
    </xf>
    <xf numFmtId="0" fontId="13" fillId="2" borderId="10" xfId="0" applyNumberFormat="1" applyFont="1" applyFill="1" applyBorder="1" applyAlignment="1">
      <alignment horizontal="center" vertical="center"/>
    </xf>
    <xf numFmtId="0" fontId="0" fillId="4" borderId="3" xfId="0" quotePrefix="1" applyFill="1" applyBorder="1" applyProtection="1">
      <protection locked="0"/>
    </xf>
    <xf numFmtId="0" fontId="0" fillId="2" borderId="2" xfId="0" applyNumberFormat="1" applyFill="1" applyBorder="1" applyAlignment="1">
      <alignment horizontal="center" vertical="center"/>
    </xf>
    <xf numFmtId="0" fontId="0" fillId="2" borderId="3" xfId="0" applyNumberFormat="1" applyFill="1" applyBorder="1" applyAlignment="1">
      <alignment horizontal="center" vertical="center"/>
    </xf>
    <xf numFmtId="0" fontId="0" fillId="2" borderId="5" xfId="0" applyNumberFormat="1" applyFill="1" applyBorder="1" applyAlignment="1">
      <alignment horizontal="center" vertical="center"/>
    </xf>
    <xf numFmtId="0" fontId="0" fillId="2" borderId="7" xfId="0" applyNumberFormat="1" applyFill="1" applyBorder="1" applyAlignment="1">
      <alignment horizontal="center" vertical="center"/>
    </xf>
    <xf numFmtId="0" fontId="0" fillId="3" borderId="3" xfId="0" applyNumberFormat="1" applyFill="1" applyBorder="1" applyAlignment="1">
      <alignment horizontal="center" vertical="center"/>
    </xf>
    <xf numFmtId="0" fontId="4" fillId="2" borderId="2" xfId="1" applyNumberFormat="1" applyFont="1" applyFill="1" applyBorder="1" applyAlignment="1">
      <alignment horizontal="center" vertical="center"/>
    </xf>
    <xf numFmtId="0" fontId="0" fillId="0" borderId="4" xfId="0" applyBorder="1" applyAlignment="1">
      <alignment horizontal="center" vertical="center"/>
    </xf>
    <xf numFmtId="0" fontId="4" fillId="2" borderId="5" xfId="1" applyNumberFormat="1" applyFont="1" applyFill="1" applyBorder="1" applyAlignment="1">
      <alignment horizontal="center" vertical="center"/>
    </xf>
    <xf numFmtId="0" fontId="0" fillId="0" borderId="6"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4" borderId="1" xfId="0" applyNumberForma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2" borderId="1" xfId="0" applyNumberFormat="1" applyFill="1" applyBorder="1" applyAlignment="1">
      <alignment horizontal="center" vertical="center"/>
    </xf>
    <xf numFmtId="0" fontId="0" fillId="0" borderId="2" xfId="0" applyBorder="1" applyAlignment="1" applyProtection="1">
      <alignment horizontal="center" vertical="center"/>
      <protection locked="0"/>
    </xf>
    <xf numFmtId="0" fontId="0" fillId="2" borderId="6" xfId="0" applyNumberFormat="1" applyFill="1" applyBorder="1" applyAlignment="1">
      <alignment horizontal="center" vertical="center"/>
    </xf>
    <xf numFmtId="0" fontId="0" fillId="2" borderId="8" xfId="0" applyFill="1" applyBorder="1" applyAlignment="1">
      <alignment horizontal="center" vertical="center"/>
    </xf>
    <xf numFmtId="0" fontId="0" fillId="4" borderId="4" xfId="0" applyNumberFormat="1" applyFill="1" applyBorder="1" applyAlignment="1" applyProtection="1">
      <alignment horizontal="center" vertical="center"/>
      <protection locked="0"/>
    </xf>
    <xf numFmtId="0" fontId="0" fillId="2" borderId="4" xfId="0" applyNumberFormat="1" applyFill="1" applyBorder="1" applyAlignment="1">
      <alignment horizontal="center" vertical="center"/>
    </xf>
    <xf numFmtId="0" fontId="3" fillId="2" borderId="5" xfId="0" applyNumberFormat="1" applyFont="1" applyFill="1" applyBorder="1" applyAlignment="1">
      <alignment horizontal="center" vertical="center"/>
    </xf>
    <xf numFmtId="0" fontId="3" fillId="2" borderId="7" xfId="0" applyNumberFormat="1" applyFont="1" applyFill="1" applyBorder="1" applyAlignment="1">
      <alignment horizontal="center" vertical="center"/>
    </xf>
    <xf numFmtId="0" fontId="0" fillId="0" borderId="1" xfId="0" applyBorder="1" applyAlignment="1">
      <alignment horizontal="center" vertical="center"/>
    </xf>
    <xf numFmtId="2" fontId="1" fillId="2" borderId="1" xfId="1" applyNumberFormat="1" applyFont="1" applyFill="1" applyBorder="1" applyAlignment="1">
      <alignment horizontal="center" vertical="center"/>
    </xf>
    <xf numFmtId="0" fontId="1" fillId="2" borderId="1" xfId="0" applyNumberFormat="1" applyFont="1" applyFill="1" applyBorder="1" applyAlignment="1">
      <alignment horizontal="center" vertical="center"/>
    </xf>
    <xf numFmtId="0" fontId="0" fillId="3" borderId="12" xfId="0" applyNumberFormat="1" applyFill="1" applyBorder="1" applyAlignment="1">
      <alignment horizontal="center" vertical="center"/>
    </xf>
    <xf numFmtId="0" fontId="0" fillId="0" borderId="12" xfId="0" applyBorder="1" applyAlignment="1">
      <alignment horizontal="center" vertical="center"/>
    </xf>
    <xf numFmtId="0" fontId="0" fillId="0" borderId="9" xfId="0" applyNumberFormat="1" applyFill="1" applyBorder="1" applyAlignment="1">
      <alignment horizontal="center" vertical="center"/>
    </xf>
    <xf numFmtId="0" fontId="0" fillId="0" borderId="10" xfId="0" applyNumberFormat="1" applyFill="1" applyBorder="1" applyAlignment="1">
      <alignment horizontal="center" vertical="center"/>
    </xf>
    <xf numFmtId="2" fontId="0" fillId="0" borderId="1" xfId="0" applyNumberFormat="1" applyFill="1" applyBorder="1" applyAlignment="1" applyProtection="1">
      <alignment horizontal="center" vertical="center"/>
      <protection locked="0"/>
    </xf>
    <xf numFmtId="2" fontId="0" fillId="4" borderId="1" xfId="0" applyNumberFormat="1" applyFill="1" applyBorder="1" applyAlignment="1" applyProtection="1">
      <alignment horizontal="center" vertical="center"/>
      <protection locked="0"/>
    </xf>
    <xf numFmtId="0" fontId="0" fillId="0" borderId="10" xfId="0" applyBorder="1" applyAlignment="1">
      <alignment horizontal="center" vertical="center"/>
    </xf>
    <xf numFmtId="2" fontId="3" fillId="2" borderId="2" xfId="0" applyNumberFormat="1" applyFont="1" applyFill="1" applyBorder="1" applyAlignment="1">
      <alignment horizontal="center" vertical="center"/>
    </xf>
    <xf numFmtId="0" fontId="0" fillId="2" borderId="9" xfId="0" applyNumberFormat="1" applyFill="1" applyBorder="1" applyAlignment="1" applyProtection="1">
      <alignment horizontal="center"/>
    </xf>
    <xf numFmtId="0" fontId="0" fillId="2" borderId="10" xfId="0" applyFill="1" applyBorder="1" applyAlignment="1" applyProtection="1">
      <alignment horizontal="center"/>
    </xf>
    <xf numFmtId="0" fontId="0" fillId="0" borderId="10" xfId="1" applyNumberFormat="1" applyFont="1" applyFill="1" applyBorder="1" applyAlignment="1" applyProtection="1">
      <alignment horizontal="center" vertical="center"/>
      <protection locked="0"/>
    </xf>
    <xf numFmtId="0" fontId="0" fillId="0" borderId="1" xfId="1" applyNumberFormat="1" applyFont="1" applyFill="1" applyBorder="1" applyAlignment="1" applyProtection="1">
      <alignment horizontal="center" vertical="center"/>
      <protection locked="0"/>
    </xf>
    <xf numFmtId="0" fontId="0" fillId="0" borderId="9" xfId="1" applyNumberFormat="1" applyFont="1" applyFill="1" applyBorder="1" applyAlignment="1" applyProtection="1">
      <alignment horizontal="center" vertical="center"/>
      <protection locked="0"/>
    </xf>
    <xf numFmtId="0" fontId="0" fillId="0" borderId="11" xfId="0" applyNumberFormat="1" applyFill="1" applyBorder="1" applyAlignment="1">
      <alignment horizontal="center" vertical="center"/>
    </xf>
    <xf numFmtId="0" fontId="0" fillId="2" borderId="9" xfId="0" applyNumberFormat="1" applyFill="1" applyBorder="1" applyAlignment="1">
      <alignment horizontal="center" vertical="center"/>
    </xf>
    <xf numFmtId="0" fontId="0" fillId="4" borderId="10" xfId="0" applyNumberFormat="1" applyFill="1" applyBorder="1" applyAlignment="1">
      <alignment horizontal="center" vertical="center"/>
    </xf>
    <xf numFmtId="2" fontId="6" fillId="2" borderId="2" xfId="0" applyNumberFormat="1" applyFont="1" applyFill="1" applyBorder="1" applyAlignment="1">
      <alignment horizontal="center" vertical="center"/>
    </xf>
    <xf numFmtId="2" fontId="6" fillId="2" borderId="3" xfId="0" applyNumberFormat="1" applyFont="1" applyFill="1" applyBorder="1" applyAlignment="1">
      <alignment horizontal="center" vertical="center"/>
    </xf>
    <xf numFmtId="0" fontId="0" fillId="4" borderId="10" xfId="0" applyFill="1" applyBorder="1" applyAlignment="1" applyProtection="1">
      <alignment horizontal="center"/>
    </xf>
    <xf numFmtId="0" fontId="0" fillId="2" borderId="10" xfId="0" applyNumberFormat="1" applyFill="1" applyBorder="1" applyAlignment="1">
      <alignment horizontal="center" vertical="center"/>
    </xf>
    <xf numFmtId="2" fontId="0" fillId="0" borderId="4" xfId="0" applyNumberFormat="1" applyBorder="1" applyAlignment="1">
      <alignment horizontal="center" vertical="center"/>
    </xf>
    <xf numFmtId="2" fontId="0" fillId="0" borderId="1" xfId="1" applyNumberFormat="1" applyFont="1" applyFill="1" applyBorder="1" applyAlignment="1" applyProtection="1">
      <alignment horizontal="center" vertical="center"/>
      <protection locked="0"/>
    </xf>
    <xf numFmtId="2" fontId="0" fillId="0" borderId="2" xfId="1" applyNumberFormat="1" applyFont="1" applyFill="1" applyBorder="1" applyAlignment="1" applyProtection="1">
      <alignment horizontal="center" vertical="center"/>
      <protection locked="0"/>
    </xf>
    <xf numFmtId="2" fontId="0" fillId="0" borderId="4" xfId="1" applyNumberFormat="1" applyFont="1" applyFill="1" applyBorder="1" applyAlignment="1" applyProtection="1">
      <alignment horizontal="center" vertical="center"/>
      <protection locked="0"/>
    </xf>
    <xf numFmtId="2" fontId="3" fillId="2" borderId="1" xfId="0" applyNumberFormat="1" applyFont="1" applyFill="1" applyBorder="1" applyAlignment="1">
      <alignment horizontal="center" vertical="center"/>
    </xf>
    <xf numFmtId="2" fontId="0" fillId="0" borderId="1" xfId="0" applyNumberFormat="1" applyBorder="1" applyAlignment="1">
      <alignment horizontal="center" vertical="center"/>
    </xf>
    <xf numFmtId="0" fontId="0" fillId="3" borderId="1" xfId="0" applyNumberFormat="1" applyFill="1" applyBorder="1" applyAlignment="1" applyProtection="1">
      <alignment horizontal="center" vertical="center"/>
      <protection locked="0"/>
    </xf>
    <xf numFmtId="0" fontId="6" fillId="2" borderId="2" xfId="0" applyNumberFormat="1" applyFont="1" applyFill="1" applyBorder="1" applyAlignment="1">
      <alignment horizontal="center" vertical="center"/>
    </xf>
    <xf numFmtId="0" fontId="6" fillId="2" borderId="4" xfId="0" applyNumberFormat="1" applyFont="1" applyFill="1" applyBorder="1" applyAlignment="1">
      <alignment horizontal="center" vertical="center"/>
    </xf>
    <xf numFmtId="0" fontId="0" fillId="4" borderId="1" xfId="1" applyNumberFormat="1" applyFont="1" applyFill="1" applyBorder="1" applyAlignment="1" applyProtection="1">
      <alignment horizontal="center" vertical="center"/>
      <protection locked="0"/>
    </xf>
    <xf numFmtId="0" fontId="0" fillId="2" borderId="9" xfId="0" applyNumberFormat="1" applyFill="1" applyBorder="1" applyAlignment="1" applyProtection="1">
      <alignment horizontal="center" vertical="center"/>
      <protection hidden="1"/>
    </xf>
    <xf numFmtId="0" fontId="0" fillId="2" borderId="10" xfId="0" applyNumberFormat="1" applyFill="1" applyBorder="1" applyAlignment="1" applyProtection="1">
      <alignment horizontal="center" vertical="center"/>
      <protection hidden="1"/>
    </xf>
    <xf numFmtId="0" fontId="0" fillId="2" borderId="9" xfId="0" applyNumberFormat="1" applyFill="1" applyBorder="1" applyAlignment="1" applyProtection="1">
      <alignment horizontal="center" vertical="center"/>
    </xf>
    <xf numFmtId="0" fontId="0" fillId="2" borderId="10" xfId="0" applyNumberFormat="1" applyFill="1" applyBorder="1" applyAlignment="1" applyProtection="1">
      <alignment horizontal="center" vertical="center"/>
    </xf>
    <xf numFmtId="2" fontId="0" fillId="0" borderId="1" xfId="0" applyNumberFormat="1" applyBorder="1" applyAlignment="1" applyProtection="1">
      <alignment horizontal="center" vertical="center"/>
      <protection locked="0"/>
    </xf>
    <xf numFmtId="2" fontId="0" fillId="0" borderId="9" xfId="0" applyNumberFormat="1" applyFill="1" applyBorder="1" applyAlignment="1" applyProtection="1">
      <alignment horizontal="center" vertical="center"/>
      <protection locked="0"/>
    </xf>
    <xf numFmtId="2" fontId="0" fillId="0" borderId="10" xfId="0" applyNumberFormat="1" applyFill="1" applyBorder="1" applyAlignment="1" applyProtection="1">
      <alignment horizontal="center" vertical="center"/>
      <protection locked="0"/>
    </xf>
    <xf numFmtId="0" fontId="3" fillId="2" borderId="9" xfId="0" applyNumberFormat="1" applyFont="1" applyFill="1" applyBorder="1" applyAlignment="1">
      <alignment horizontal="center" vertical="center"/>
    </xf>
    <xf numFmtId="0" fontId="3" fillId="2" borderId="10" xfId="0" applyNumberFormat="1" applyFont="1" applyFill="1" applyBorder="1" applyAlignment="1">
      <alignment horizontal="center" vertical="center"/>
    </xf>
    <xf numFmtId="2" fontId="0" fillId="0" borderId="9" xfId="0" applyNumberFormat="1" applyFill="1" applyBorder="1" applyAlignment="1">
      <alignment horizontal="center" vertical="center"/>
    </xf>
    <xf numFmtId="2" fontId="0" fillId="0" borderId="10" xfId="0" applyNumberFormat="1" applyBorder="1" applyAlignment="1">
      <alignment horizontal="center" vertical="center"/>
    </xf>
    <xf numFmtId="0" fontId="0" fillId="4" borderId="10" xfId="1" applyNumberFormat="1" applyFont="1" applyFill="1" applyBorder="1" applyAlignment="1" applyProtection="1">
      <alignment horizontal="center" vertical="center"/>
      <protection locked="0"/>
    </xf>
    <xf numFmtId="0" fontId="0" fillId="4" borderId="9" xfId="1" applyNumberFormat="1" applyFont="1" applyFill="1" applyBorder="1" applyAlignment="1" applyProtection="1">
      <alignment horizontal="center" vertical="center"/>
      <protection locked="0"/>
    </xf>
    <xf numFmtId="2" fontId="0" fillId="3" borderId="1" xfId="0" applyNumberFormat="1" applyFill="1" applyBorder="1" applyAlignment="1">
      <alignment horizontal="center" vertical="center"/>
    </xf>
    <xf numFmtId="2" fontId="0" fillId="0" borderId="11" xfId="0" applyNumberFormat="1" applyFill="1" applyBorder="1" applyAlignment="1">
      <alignment horizontal="center" vertical="center"/>
    </xf>
    <xf numFmtId="2" fontId="4" fillId="0" borderId="9" xfId="1" applyNumberFormat="1" applyFont="1" applyFill="1" applyBorder="1" applyAlignment="1" applyProtection="1">
      <alignment horizontal="left"/>
      <protection locked="0"/>
    </xf>
    <xf numFmtId="0" fontId="0" fillId="0" borderId="11" xfId="0" applyBorder="1" applyAlignment="1">
      <alignment horizontal="left"/>
    </xf>
    <xf numFmtId="0" fontId="0" fillId="0" borderId="10" xfId="0" applyBorder="1" applyAlignment="1">
      <alignment horizontal="left"/>
    </xf>
    <xf numFmtId="2" fontId="0" fillId="0"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xf>
    <xf numFmtId="0" fontId="0" fillId="4" borderId="10" xfId="0" applyNumberFormat="1" applyFill="1" applyBorder="1" applyAlignment="1" applyProtection="1">
      <alignment horizontal="center" vertical="center"/>
    </xf>
    <xf numFmtId="0" fontId="3" fillId="2"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3" fillId="2" borderId="2" xfId="0" applyNumberFormat="1" applyFont="1" applyFill="1" applyBorder="1" applyAlignment="1" applyProtection="1">
      <alignment horizontal="center" vertical="center"/>
    </xf>
    <xf numFmtId="0" fontId="0" fillId="0" borderId="4" xfId="0" applyBorder="1" applyAlignment="1" applyProtection="1">
      <alignment horizontal="center" vertical="center"/>
    </xf>
    <xf numFmtId="2" fontId="3" fillId="2" borderId="1" xfId="0" applyNumberFormat="1" applyFont="1" applyFill="1" applyBorder="1" applyAlignment="1" applyProtection="1">
      <alignment horizontal="center" vertical="center"/>
    </xf>
    <xf numFmtId="2" fontId="0" fillId="0" borderId="1" xfId="0" applyNumberFormat="1" applyBorder="1" applyAlignment="1" applyProtection="1">
      <alignment horizontal="center" vertical="center"/>
    </xf>
    <xf numFmtId="0" fontId="0" fillId="3" borderId="12" xfId="0" applyNumberFormat="1" applyFill="1" applyBorder="1" applyAlignment="1" applyProtection="1">
      <alignment horizontal="center" vertical="center"/>
    </xf>
    <xf numFmtId="0" fontId="0" fillId="0" borderId="12" xfId="0" applyBorder="1" applyAlignment="1" applyProtection="1">
      <alignment horizontal="center" vertical="center"/>
    </xf>
    <xf numFmtId="2" fontId="0" fillId="0" borderId="11" xfId="0" applyNumberFormat="1" applyFill="1" applyBorder="1" applyAlignment="1" applyProtection="1">
      <alignment horizontal="center" vertical="center"/>
    </xf>
    <xf numFmtId="2" fontId="0" fillId="0" borderId="10" xfId="0" applyNumberFormat="1" applyBorder="1" applyAlignment="1" applyProtection="1">
      <alignment horizontal="center" vertical="center"/>
    </xf>
    <xf numFmtId="0" fontId="0" fillId="0" borderId="9" xfId="0" applyNumberFormat="1" applyFill="1" applyBorder="1" applyAlignment="1" applyProtection="1">
      <alignment horizontal="center" vertical="center"/>
    </xf>
    <xf numFmtId="0" fontId="0" fillId="0" borderId="10" xfId="0" applyNumberFormat="1" applyFill="1" applyBorder="1" applyAlignment="1" applyProtection="1">
      <alignment horizontal="center" vertical="center"/>
    </xf>
    <xf numFmtId="0" fontId="4" fillId="2" borderId="2" xfId="1" applyNumberFormat="1" applyFont="1" applyFill="1" applyBorder="1" applyAlignment="1" applyProtection="1">
      <alignment horizontal="center" vertical="center"/>
    </xf>
    <xf numFmtId="0" fontId="4" fillId="2" borderId="5" xfId="1" applyNumberFormat="1" applyFont="1" applyFill="1" applyBorder="1" applyAlignment="1" applyProtection="1">
      <alignment horizontal="center" vertical="center"/>
    </xf>
    <xf numFmtId="0" fontId="0" fillId="0" borderId="6" xfId="0" applyBorder="1" applyAlignment="1" applyProtection="1">
      <alignment horizontal="center" vertical="center"/>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3" fillId="2" borderId="9" xfId="0" applyNumberFormat="1" applyFont="1" applyFill="1" applyBorder="1" applyAlignment="1" applyProtection="1">
      <alignment horizontal="center" vertical="center"/>
    </xf>
    <xf numFmtId="0" fontId="3" fillId="2" borderId="10" xfId="0" applyNumberFormat="1" applyFont="1" applyFill="1" applyBorder="1" applyAlignment="1" applyProtection="1">
      <alignment horizontal="center" vertical="center"/>
    </xf>
    <xf numFmtId="2" fontId="6" fillId="2" borderId="2" xfId="0" applyNumberFormat="1" applyFont="1" applyFill="1" applyBorder="1" applyAlignment="1" applyProtection="1">
      <alignment horizontal="center" vertical="center"/>
    </xf>
    <xf numFmtId="2" fontId="0" fillId="0" borderId="4" xfId="0" applyNumberFormat="1" applyBorder="1" applyAlignment="1" applyProtection="1">
      <alignment horizontal="center" vertical="center"/>
    </xf>
    <xf numFmtId="2" fontId="0" fillId="0" borderId="2" xfId="1" applyNumberFormat="1" applyFont="1" applyFill="1" applyBorder="1" applyAlignment="1" applyProtection="1">
      <alignment horizontal="center" vertical="center"/>
    </xf>
    <xf numFmtId="2" fontId="0" fillId="0" borderId="4" xfId="1" applyNumberFormat="1" applyFont="1" applyFill="1" applyBorder="1" applyAlignment="1" applyProtection="1">
      <alignment horizontal="center" vertical="center"/>
    </xf>
    <xf numFmtId="0" fontId="6" fillId="2" borderId="2" xfId="0" applyNumberFormat="1" applyFont="1" applyFill="1" applyBorder="1" applyAlignment="1" applyProtection="1">
      <alignment horizontal="center" vertical="center"/>
    </xf>
    <xf numFmtId="0" fontId="6" fillId="2" borderId="4" xfId="0" applyNumberFormat="1" applyFont="1" applyFill="1" applyBorder="1" applyAlignment="1" applyProtection="1">
      <alignment horizontal="center" vertical="center"/>
    </xf>
    <xf numFmtId="0" fontId="0" fillId="2" borderId="1" xfId="0" applyNumberFormat="1" applyFill="1" applyBorder="1" applyAlignment="1" applyProtection="1">
      <alignment horizontal="center" vertical="center"/>
    </xf>
    <xf numFmtId="0" fontId="0" fillId="4" borderId="1" xfId="0" applyNumberFormat="1" applyFill="1" applyBorder="1" applyAlignment="1" applyProtection="1">
      <alignment horizontal="center" vertical="center"/>
    </xf>
    <xf numFmtId="2" fontId="0" fillId="0" borderId="1" xfId="1" applyNumberFormat="1" applyFont="1" applyFill="1" applyBorder="1" applyAlignment="1" applyProtection="1">
      <alignment horizontal="center" vertical="center"/>
    </xf>
    <xf numFmtId="0" fontId="0" fillId="3" borderId="1" xfId="0" applyNumberFormat="1" applyFill="1" applyBorder="1" applyAlignment="1" applyProtection="1">
      <alignment horizontal="center" vertical="center"/>
    </xf>
    <xf numFmtId="2" fontId="1" fillId="2" borderId="1" xfId="1"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0" fillId="2" borderId="2" xfId="0" applyNumberFormat="1" applyFill="1" applyBorder="1" applyAlignment="1" applyProtection="1">
      <alignment horizontal="center" vertical="center"/>
    </xf>
    <xf numFmtId="0" fontId="0" fillId="0" borderId="2" xfId="0" applyBorder="1" applyAlignment="1" applyProtection="1">
      <alignment horizontal="center" vertical="center"/>
    </xf>
    <xf numFmtId="2" fontId="0" fillId="3" borderId="1" xfId="0" applyNumberFormat="1" applyFill="1" applyBorder="1" applyAlignment="1" applyProtection="1">
      <alignment horizontal="center" vertical="center"/>
    </xf>
    <xf numFmtId="0" fontId="0" fillId="3" borderId="3" xfId="0" applyNumberFormat="1" applyFill="1" applyBorder="1" applyAlignment="1" applyProtection="1">
      <alignment horizontal="center" vertical="center"/>
    </xf>
    <xf numFmtId="2" fontId="4" fillId="0" borderId="9" xfId="1" applyNumberFormat="1" applyFont="1" applyFill="1" applyBorder="1" applyAlignment="1" applyProtection="1">
      <alignment horizontal="left"/>
    </xf>
    <xf numFmtId="0" fontId="0" fillId="0" borderId="11" xfId="0" applyBorder="1" applyAlignment="1" applyProtection="1">
      <alignment horizontal="left"/>
    </xf>
    <xf numFmtId="0" fontId="0" fillId="0" borderId="10" xfId="0" applyBorder="1" applyAlignment="1" applyProtection="1">
      <alignment horizontal="left"/>
    </xf>
    <xf numFmtId="0" fontId="0" fillId="0" borderId="10" xfId="0" applyBorder="1" applyAlignment="1" applyProtection="1">
      <alignment horizontal="center" vertical="center"/>
    </xf>
    <xf numFmtId="0" fontId="0" fillId="0" borderId="11" xfId="0" applyNumberFormat="1" applyFill="1" applyBorder="1" applyAlignment="1" applyProtection="1">
      <alignment horizontal="center" vertical="center"/>
    </xf>
    <xf numFmtId="0" fontId="0" fillId="0" borderId="9" xfId="1" applyNumberFormat="1" applyFont="1" applyFill="1" applyBorder="1" applyAlignment="1" applyProtection="1">
      <alignment horizontal="center" vertical="center"/>
    </xf>
    <xf numFmtId="0" fontId="0" fillId="0" borderId="10" xfId="1" applyNumberFormat="1" applyFont="1" applyFill="1" applyBorder="1" applyAlignment="1" applyProtection="1">
      <alignment horizontal="center" vertical="center"/>
    </xf>
    <xf numFmtId="0" fontId="0" fillId="0" borderId="1" xfId="1" applyNumberFormat="1" applyFont="1" applyFill="1" applyBorder="1" applyAlignment="1" applyProtection="1">
      <alignment horizontal="center" vertical="center"/>
    </xf>
    <xf numFmtId="2" fontId="3" fillId="2" borderId="2" xfId="0" applyNumberFormat="1" applyFont="1" applyFill="1" applyBorder="1" applyAlignment="1" applyProtection="1">
      <alignment horizontal="right" vertical="center"/>
    </xf>
    <xf numFmtId="2" fontId="0" fillId="0" borderId="4" xfId="0" applyNumberFormat="1" applyBorder="1" applyAlignment="1" applyProtection="1">
      <alignment horizontal="right" vertical="center"/>
    </xf>
    <xf numFmtId="2" fontId="6" fillId="2" borderId="3" xfId="0" applyNumberFormat="1" applyFont="1" applyFill="1" applyBorder="1" applyAlignment="1" applyProtection="1">
      <alignment horizontal="center" vertical="center"/>
    </xf>
    <xf numFmtId="0" fontId="0" fillId="2" borderId="4" xfId="0" applyNumberFormat="1" applyFill="1" applyBorder="1" applyAlignment="1" applyProtection="1">
      <alignment horizontal="center" vertical="center"/>
    </xf>
    <xf numFmtId="0" fontId="0" fillId="4" borderId="4" xfId="0" applyNumberFormat="1" applyFill="1" applyBorder="1" applyAlignment="1" applyProtection="1">
      <alignment horizontal="center" vertical="center"/>
    </xf>
    <xf numFmtId="0" fontId="3" fillId="2" borderId="5" xfId="0" applyNumberFormat="1" applyFont="1" applyFill="1" applyBorder="1" applyAlignment="1" applyProtection="1">
      <alignment horizontal="center" vertical="center"/>
    </xf>
    <xf numFmtId="0" fontId="3" fillId="2" borderId="7" xfId="0" applyNumberFormat="1" applyFont="1" applyFill="1" applyBorder="1" applyAlignment="1" applyProtection="1">
      <alignment horizontal="center" vertical="center"/>
    </xf>
    <xf numFmtId="0" fontId="0" fillId="2" borderId="6" xfId="0" applyNumberFormat="1" applyFill="1" applyBorder="1" applyAlignment="1" applyProtection="1">
      <alignment horizontal="center" vertical="center"/>
    </xf>
    <xf numFmtId="0" fontId="0" fillId="2" borderId="8" xfId="0" applyFill="1" applyBorder="1" applyAlignment="1" applyProtection="1">
      <alignment horizontal="center" vertical="center"/>
    </xf>
    <xf numFmtId="0" fontId="0" fillId="4" borderId="10" xfId="1" applyNumberFormat="1" applyFont="1" applyFill="1" applyBorder="1" applyAlignment="1" applyProtection="1">
      <alignment horizontal="center" vertical="center"/>
    </xf>
    <xf numFmtId="0" fontId="0" fillId="4" borderId="1" xfId="1" applyNumberFormat="1" applyFont="1" applyFill="1" applyBorder="1" applyAlignment="1" applyProtection="1">
      <alignment horizontal="center" vertical="center"/>
    </xf>
    <xf numFmtId="0" fontId="0" fillId="4" borderId="9" xfId="1" applyNumberFormat="1" applyFont="1" applyFill="1" applyBorder="1" applyAlignment="1" applyProtection="1">
      <alignment horizontal="center" vertical="center"/>
    </xf>
    <xf numFmtId="2" fontId="0" fillId="0" borderId="9" xfId="0" applyNumberFormat="1" applyFill="1" applyBorder="1" applyAlignment="1" applyProtection="1">
      <alignment horizontal="center" vertical="center"/>
    </xf>
    <xf numFmtId="2" fontId="0" fillId="0" borderId="10" xfId="0" applyNumberFormat="1" applyFill="1" applyBorder="1" applyAlignment="1" applyProtection="1">
      <alignment horizontal="center" vertical="center"/>
    </xf>
    <xf numFmtId="0" fontId="8" fillId="2" borderId="0" xfId="0" applyFont="1" applyFill="1" applyAlignment="1">
      <alignment horizontal="center" vertical="center"/>
    </xf>
    <xf numFmtId="0" fontId="0" fillId="2" borderId="0" xfId="0" applyFill="1" applyAlignment="1">
      <alignment horizontal="center" vertical="center"/>
    </xf>
    <xf numFmtId="0" fontId="3" fillId="2" borderId="0" xfId="0" applyFont="1" applyFill="1" applyBorder="1" applyAlignment="1">
      <alignment horizontal="center" vertical="center"/>
    </xf>
    <xf numFmtId="0" fontId="0" fillId="0" borderId="0" xfId="0" applyBorder="1" applyAlignment="1">
      <alignment horizontal="center" vertical="center"/>
    </xf>
    <xf numFmtId="0" fontId="0" fillId="5" borderId="10" xfId="0" applyFill="1" applyBorder="1" applyAlignment="1" applyProtection="1">
      <alignment horizontal="center"/>
    </xf>
    <xf numFmtId="0" fontId="0" fillId="6" borderId="9" xfId="0" applyNumberFormat="1" applyFill="1" applyBorder="1" applyAlignment="1" applyProtection="1">
      <alignment horizontal="center"/>
    </xf>
    <xf numFmtId="0" fontId="0" fillId="6" borderId="10" xfId="0" applyFill="1" applyBorder="1" applyAlignment="1" applyProtection="1">
      <alignment horizontal="center"/>
    </xf>
    <xf numFmtId="2" fontId="0" fillId="6" borderId="8" xfId="1" applyNumberFormat="1" applyFont="1" applyFill="1" applyBorder="1" applyAlignment="1" applyProtection="1">
      <alignment horizontal="center"/>
    </xf>
  </cellXfs>
  <cellStyles count="2">
    <cellStyle name="Currency" xfId="1" builtinId="4"/>
    <cellStyle name="Normal" xfId="0" builtinId="0"/>
  </cellStyles>
  <dxfs count="2">
    <dxf>
      <fill>
        <patternFill patternType="solid">
          <bgColor indexed="55"/>
        </patternFill>
      </fill>
    </dxf>
    <dxf>
      <fill>
        <patternFill patternType="solid">
          <bgColor indexed="5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XZ Plot</a:t>
            </a:r>
          </a:p>
        </c:rich>
      </c:tx>
      <c:layout/>
      <c:overlay val="0"/>
    </c:title>
    <c:autoTitleDeleted val="0"/>
    <c:plotArea>
      <c:layout>
        <c:manualLayout>
          <c:xMode val="edge"/>
          <c:yMode val="edge"/>
          <c:x val="7.8431372549019607E-2"/>
          <c:y val="7.9800498753117205E-2"/>
          <c:w val="0.91748366013071891"/>
          <c:h val="0.82385689320007072"/>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1</a:t>
                    </a:r>
                  </a:p>
                </c:rich>
              </c:tx>
              <c:dLblPos val="r"/>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-7.8980917359999987</c:v>
              </c:pt>
            </c:numLit>
          </c:xVal>
          <c:yVal>
            <c:numLit>
              <c:formatCode>General</c:formatCode>
              <c:ptCount val="2"/>
              <c:pt idx="0">
                <c:v>-128.98699999999999</c:v>
              </c:pt>
              <c:pt idx="1">
                <c:v>22.032082640000013</c:v>
              </c:pt>
            </c:numLit>
          </c:yVal>
          <c:smooth val="0"/>
        </c:ser>
        <c:ser>
          <c:idx val="1"/>
          <c:order val="1"/>
          <c:tx>
            <c:v>Leg2</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2</a:t>
                    </a:r>
                  </a:p>
                </c:rich>
              </c:tx>
              <c:dLblPos val="r"/>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12</c:v>
              </c:pt>
              <c:pt idx="1">
                <c:v>12</c:v>
              </c:pt>
            </c:numLit>
          </c:xVal>
          <c:yVal>
            <c:numLit>
              <c:formatCode>General</c:formatCode>
              <c:ptCount val="2"/>
              <c:pt idx="0">
                <c:v>-128.98699999999999</c:v>
              </c:pt>
              <c:pt idx="1">
                <c:v>22.032082640000013</c:v>
              </c:pt>
            </c:numLit>
          </c:yVal>
          <c:smooth val="0"/>
        </c:ser>
        <c:ser>
          <c:idx val="2"/>
          <c:order val="2"/>
          <c:tx>
            <c:v>Leg3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3</a:t>
                    </a:r>
                  </a:p>
                </c:rich>
              </c:tx>
              <c:dLblPos val="r"/>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34</c:v>
              </c:pt>
              <c:pt idx="1">
                <c:v>18.898091735999998</c:v>
              </c:pt>
            </c:numLit>
          </c:xVal>
          <c:yVal>
            <c:numLit>
              <c:formatCode>General</c:formatCode>
              <c:ptCount val="2"/>
              <c:pt idx="0">
                <c:v>-128.98699999999999</c:v>
              </c:pt>
              <c:pt idx="1">
                <c:v>22.032082640000013</c:v>
              </c:pt>
            </c:numLit>
          </c:yVal>
          <c:smooth val="0"/>
        </c:ser>
        <c:ser>
          <c:idx val="3"/>
          <c:order val="3"/>
          <c:tx>
            <c:v>Leg4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-7.8980917359999987</c:v>
              </c:pt>
              <c:pt idx="1">
                <c:v>-7.8980917359999987</c:v>
              </c:pt>
            </c:numLit>
          </c:xVal>
          <c:yVal>
            <c:numLit>
              <c:formatCode>General</c:formatCode>
              <c:ptCount val="2"/>
              <c:pt idx="0">
                <c:v>22.032082640000013</c:v>
              </c:pt>
              <c:pt idx="1">
                <c:v>26.032082640000013</c:v>
              </c:pt>
            </c:numLit>
          </c:yVal>
          <c:smooth val="0"/>
        </c:ser>
        <c:ser>
          <c:idx val="4"/>
          <c:order val="4"/>
          <c:tx>
            <c:v>Leg5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12</c:v>
              </c:pt>
              <c:pt idx="1">
                <c:v>12</c:v>
              </c:pt>
            </c:numLit>
          </c:xVal>
          <c:yVal>
            <c:numLit>
              <c:formatCode>General</c:formatCode>
              <c:ptCount val="2"/>
              <c:pt idx="0">
                <c:v>22.032082640000013</c:v>
              </c:pt>
              <c:pt idx="1">
                <c:v>26.032082640000013</c:v>
              </c:pt>
            </c:numLit>
          </c:yVal>
          <c:smooth val="0"/>
        </c:ser>
        <c:ser>
          <c:idx val="5"/>
          <c:order val="5"/>
          <c:tx>
            <c:v>Leg6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18.898091735999998</c:v>
              </c:pt>
              <c:pt idx="1">
                <c:v>18.898091735999998</c:v>
              </c:pt>
            </c:numLit>
          </c:xVal>
          <c:yVal>
            <c:numLit>
              <c:formatCode>General</c:formatCode>
              <c:ptCount val="2"/>
              <c:pt idx="0">
                <c:v>22.032082640000013</c:v>
              </c:pt>
              <c:pt idx="1">
                <c:v>26.032082640000013</c:v>
              </c:pt>
            </c:numLit>
          </c:yVal>
          <c:smooth val="0"/>
        </c:ser>
        <c:ser>
          <c:idx val="6"/>
          <c:order val="6"/>
          <c:tx>
            <c:v>Brace1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Z1</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-22.6</c:v>
              </c:pt>
              <c:pt idx="1">
                <c:v>11.999999999999993</c:v>
              </c:pt>
            </c:numLit>
          </c:xVal>
          <c:yVal>
            <c:numLit>
              <c:formatCode>General</c:formatCode>
              <c:ptCount val="2"/>
              <c:pt idx="0">
                <c:v>-124.98699999999999</c:v>
              </c:pt>
              <c:pt idx="1">
                <c:v>-124.98699999999999</c:v>
              </c:pt>
            </c:numLit>
          </c:yVal>
          <c:smooth val="0"/>
        </c:ser>
        <c:ser>
          <c:idx val="7"/>
          <c:order val="7"/>
          <c:tx>
            <c:v>Brace2</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Z2</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-20.2</c:v>
              </c:pt>
              <c:pt idx="1">
                <c:v>11.999999999999993</c:v>
              </c:pt>
            </c:numLit>
          </c:xVal>
          <c:yVal>
            <c:numLit>
              <c:formatCode>General</c:formatCode>
              <c:ptCount val="2"/>
              <c:pt idx="0">
                <c:v>-100.98699999999999</c:v>
              </c:pt>
              <c:pt idx="1">
                <c:v>-100.98699999999999</c:v>
              </c:pt>
            </c:numLit>
          </c:yVal>
          <c:smooth val="0"/>
        </c:ser>
        <c:ser>
          <c:idx val="8"/>
          <c:order val="8"/>
          <c:tx>
            <c:v>Brace3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Z3</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-18.04</c:v>
              </c:pt>
              <c:pt idx="1">
                <c:v>11.999999999999993</c:v>
              </c:pt>
            </c:numLit>
          </c:xVal>
          <c:yVal>
            <c:numLit>
              <c:formatCode>General</c:formatCode>
              <c:ptCount val="2"/>
              <c:pt idx="0">
                <c:v>-79.387</c:v>
              </c:pt>
              <c:pt idx="1">
                <c:v>-79.387</c:v>
              </c:pt>
            </c:numLit>
          </c:yVal>
          <c:smooth val="0"/>
        </c:ser>
        <c:ser>
          <c:idx val="9"/>
          <c:order val="9"/>
          <c:tx>
            <c:v>Brace4</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Z4</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-16.096</c:v>
              </c:pt>
              <c:pt idx="1">
                <c:v>11.999999999999993</c:v>
              </c:pt>
            </c:numLit>
          </c:xVal>
          <c:yVal>
            <c:numLit>
              <c:formatCode>General</c:formatCode>
              <c:ptCount val="2"/>
              <c:pt idx="0">
                <c:v>-59.947000000000003</c:v>
              </c:pt>
              <c:pt idx="1">
                <c:v>-59.947000000000003</c:v>
              </c:pt>
            </c:numLit>
          </c:yVal>
          <c:smooth val="0"/>
        </c:ser>
        <c:ser>
          <c:idx val="10"/>
          <c:order val="10"/>
          <c:tx>
            <c:v>Brace5</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Z5</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-14.346400000000001</c:v>
              </c:pt>
              <c:pt idx="1">
                <c:v>11.999999999999993</c:v>
              </c:pt>
            </c:numLit>
          </c:xVal>
          <c:yVal>
            <c:numLit>
              <c:formatCode>General</c:formatCode>
              <c:ptCount val="2"/>
              <c:pt idx="0">
                <c:v>-42.451000000000001</c:v>
              </c:pt>
              <c:pt idx="1">
                <c:v>-42.451000000000001</c:v>
              </c:pt>
            </c:numLit>
          </c:yVal>
          <c:smooth val="0"/>
        </c:ser>
        <c:ser>
          <c:idx val="11"/>
          <c:order val="11"/>
          <c:tx>
            <c:v>Brace6</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Z6</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-12.77176</c:v>
              </c:pt>
              <c:pt idx="1">
                <c:v>11.999999999999993</c:v>
              </c:pt>
            </c:numLit>
          </c:xVal>
          <c:yVal>
            <c:numLit>
              <c:formatCode>General</c:formatCode>
              <c:ptCount val="2"/>
              <c:pt idx="0">
                <c:v>-26.704599999999999</c:v>
              </c:pt>
              <c:pt idx="1">
                <c:v>-26.704599999999999</c:v>
              </c:pt>
            </c:numLit>
          </c:yVal>
          <c:smooth val="0"/>
        </c:ser>
        <c:ser>
          <c:idx val="12"/>
          <c:order val="12"/>
          <c:tx>
            <c:v>Brace7</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Z7</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-11.354584000000001</c:v>
              </c:pt>
              <c:pt idx="1">
                <c:v>11.999999999999993</c:v>
              </c:pt>
            </c:numLit>
          </c:xVal>
          <c:yVal>
            <c:numLit>
              <c:formatCode>General</c:formatCode>
              <c:ptCount val="2"/>
              <c:pt idx="0">
                <c:v>-12.532839999999997</c:v>
              </c:pt>
              <c:pt idx="1">
                <c:v>-12.532839999999997</c:v>
              </c:pt>
            </c:numLit>
          </c:yVal>
          <c:smooth val="0"/>
        </c:ser>
        <c:ser>
          <c:idx val="13"/>
          <c:order val="13"/>
          <c:tx>
            <c:v>Brace8</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Z8</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-10.079125600000003</c:v>
              </c:pt>
              <c:pt idx="1">
                <c:v>11.999999999999993</c:v>
              </c:pt>
            </c:numLit>
          </c:xVal>
          <c:yVal>
            <c:numLit>
              <c:formatCode>General</c:formatCode>
              <c:ptCount val="2"/>
              <c:pt idx="0">
                <c:v>0.22174400000000638</c:v>
              </c:pt>
              <c:pt idx="1">
                <c:v>0.22174400000000638</c:v>
              </c:pt>
            </c:numLit>
          </c:yVal>
          <c:smooth val="0"/>
        </c:ser>
        <c:ser>
          <c:idx val="14"/>
          <c:order val="14"/>
          <c:tx>
            <c:v>Brace9</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Z9</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-8.9312130399999994</c:v>
              </c:pt>
              <c:pt idx="1">
                <c:v>11.999999999999993</c:v>
              </c:pt>
            </c:numLit>
          </c:xVal>
          <c:yVal>
            <c:numLit>
              <c:formatCode>General</c:formatCode>
              <c:ptCount val="2"/>
              <c:pt idx="0">
                <c:v>11.70086960000001</c:v>
              </c:pt>
              <c:pt idx="1">
                <c:v>11.70086960000001</c:v>
              </c:pt>
            </c:numLit>
          </c:yVal>
          <c:smooth val="0"/>
        </c:ser>
        <c:ser>
          <c:idx val="15"/>
          <c:order val="15"/>
          <c:tx>
            <c:v>Brace10</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Z10</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-7.8980917359999996</c:v>
              </c:pt>
              <c:pt idx="1">
                <c:v>11.999999999999993</c:v>
              </c:pt>
            </c:numLit>
          </c:xVal>
          <c:yVal>
            <c:numLit>
              <c:formatCode>General</c:formatCode>
              <c:ptCount val="2"/>
              <c:pt idx="0">
                <c:v>22.032082640000013</c:v>
              </c:pt>
              <c:pt idx="1">
                <c:v>22.032082640000013</c:v>
              </c:pt>
            </c:numLit>
          </c:yVal>
          <c:smooth val="0"/>
        </c:ser>
        <c:ser>
          <c:idx val="16"/>
          <c:order val="16"/>
          <c:tx>
            <c:v>Brace11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33.6</c:v>
              </c:pt>
            </c:numLit>
          </c:xVal>
          <c:yVal>
            <c:numLit>
              <c:formatCode>General</c:formatCode>
              <c:ptCount val="2"/>
              <c:pt idx="0">
                <c:v>-124.98699999999999</c:v>
              </c:pt>
              <c:pt idx="1">
                <c:v>-124.98699999999999</c:v>
              </c:pt>
            </c:numLit>
          </c:yVal>
          <c:smooth val="0"/>
        </c:ser>
        <c:ser>
          <c:idx val="17"/>
          <c:order val="17"/>
          <c:tx>
            <c:v>Brace12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31.200000000000003</c:v>
              </c:pt>
            </c:numLit>
          </c:xVal>
          <c:yVal>
            <c:numLit>
              <c:formatCode>General</c:formatCode>
              <c:ptCount val="2"/>
              <c:pt idx="0">
                <c:v>-100.98699999999999</c:v>
              </c:pt>
              <c:pt idx="1">
                <c:v>-100.98699999999999</c:v>
              </c:pt>
            </c:numLit>
          </c:yVal>
          <c:smooth val="0"/>
        </c:ser>
        <c:ser>
          <c:idx val="18"/>
          <c:order val="18"/>
          <c:tx>
            <c:v>Brace13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29.04</c:v>
              </c:pt>
            </c:numLit>
          </c:xVal>
          <c:yVal>
            <c:numLit>
              <c:formatCode>General</c:formatCode>
              <c:ptCount val="2"/>
              <c:pt idx="0">
                <c:v>-79.387</c:v>
              </c:pt>
              <c:pt idx="1">
                <c:v>-79.387</c:v>
              </c:pt>
            </c:numLit>
          </c:yVal>
          <c:smooth val="0"/>
        </c:ser>
        <c:ser>
          <c:idx val="19"/>
          <c:order val="19"/>
          <c:tx>
            <c:v>Brace14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27.096000000000004</c:v>
              </c:pt>
            </c:numLit>
          </c:xVal>
          <c:yVal>
            <c:numLit>
              <c:formatCode>General</c:formatCode>
              <c:ptCount val="2"/>
              <c:pt idx="0">
                <c:v>-59.947000000000003</c:v>
              </c:pt>
              <c:pt idx="1">
                <c:v>-59.947000000000003</c:v>
              </c:pt>
            </c:numLit>
          </c:yVal>
          <c:smooth val="0"/>
        </c:ser>
        <c:ser>
          <c:idx val="20"/>
          <c:order val="20"/>
          <c:tx>
            <c:v>Brace15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25.346400000000003</c:v>
              </c:pt>
            </c:numLit>
          </c:xVal>
          <c:yVal>
            <c:numLit>
              <c:formatCode>General</c:formatCode>
              <c:ptCount val="2"/>
              <c:pt idx="0">
                <c:v>-42.451000000000001</c:v>
              </c:pt>
              <c:pt idx="1">
                <c:v>-42.451000000000001</c:v>
              </c:pt>
            </c:numLit>
          </c:yVal>
          <c:smooth val="0"/>
        </c:ser>
        <c:ser>
          <c:idx val="21"/>
          <c:order val="21"/>
          <c:tx>
            <c:v>Brace16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23.77176</c:v>
              </c:pt>
            </c:numLit>
          </c:xVal>
          <c:yVal>
            <c:numLit>
              <c:formatCode>General</c:formatCode>
              <c:ptCount val="2"/>
              <c:pt idx="0">
                <c:v>-26.704599999999999</c:v>
              </c:pt>
              <c:pt idx="1">
                <c:v>-26.704599999999999</c:v>
              </c:pt>
            </c:numLit>
          </c:yVal>
          <c:smooth val="0"/>
        </c:ser>
        <c:ser>
          <c:idx val="22"/>
          <c:order val="22"/>
          <c:tx>
            <c:v>Brace17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22.354583999999996</c:v>
              </c:pt>
            </c:numLit>
          </c:xVal>
          <c:yVal>
            <c:numLit>
              <c:formatCode>General</c:formatCode>
              <c:ptCount val="2"/>
              <c:pt idx="0">
                <c:v>-12.532839999999997</c:v>
              </c:pt>
              <c:pt idx="1">
                <c:v>-12.532839999999997</c:v>
              </c:pt>
            </c:numLit>
          </c:yVal>
          <c:smooth val="0"/>
        </c:ser>
        <c:ser>
          <c:idx val="23"/>
          <c:order val="23"/>
          <c:tx>
            <c:v>Brace18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21.079125600000005</c:v>
              </c:pt>
            </c:numLit>
          </c:xVal>
          <c:yVal>
            <c:numLit>
              <c:formatCode>General</c:formatCode>
              <c:ptCount val="2"/>
              <c:pt idx="0">
                <c:v>0.22174400000000638</c:v>
              </c:pt>
              <c:pt idx="1">
                <c:v>0.22174400000000638</c:v>
              </c:pt>
            </c:numLit>
          </c:yVal>
          <c:smooth val="0"/>
        </c:ser>
        <c:ser>
          <c:idx val="24"/>
          <c:order val="24"/>
          <c:tx>
            <c:v>Brace19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19.931213040000003</c:v>
              </c:pt>
            </c:numLit>
          </c:xVal>
          <c:yVal>
            <c:numLit>
              <c:formatCode>General</c:formatCode>
              <c:ptCount val="2"/>
              <c:pt idx="0">
                <c:v>11.70086960000001</c:v>
              </c:pt>
              <c:pt idx="1">
                <c:v>11.70086960000001</c:v>
              </c:pt>
            </c:numLit>
          </c:yVal>
          <c:smooth val="0"/>
        </c:ser>
        <c:ser>
          <c:idx val="25"/>
          <c:order val="25"/>
          <c:tx>
            <c:v>Brace20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18.898091736000005</c:v>
              </c:pt>
            </c:numLit>
          </c:xVal>
          <c:yVal>
            <c:numLit>
              <c:formatCode>General</c:formatCode>
              <c:ptCount val="2"/>
              <c:pt idx="0">
                <c:v>22.032082640000013</c:v>
              </c:pt>
              <c:pt idx="1">
                <c:v>22.032082640000013</c:v>
              </c:pt>
            </c:numLit>
          </c:yVal>
          <c:smooth val="0"/>
        </c:ser>
        <c:ser>
          <c:idx val="26"/>
          <c:order val="26"/>
          <c:tx>
            <c:v>Brace21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31.200000000000003</c:v>
              </c:pt>
            </c:numLit>
          </c:xVal>
          <c:yVal>
            <c:numLit>
              <c:formatCode>General</c:formatCode>
              <c:ptCount val="2"/>
              <c:pt idx="0">
                <c:v>-124.98699999999999</c:v>
              </c:pt>
              <c:pt idx="1">
                <c:v>-100.98699999999999</c:v>
              </c:pt>
            </c:numLit>
          </c:yVal>
          <c:smooth val="0"/>
        </c:ser>
        <c:ser>
          <c:idx val="27"/>
          <c:order val="27"/>
          <c:tx>
            <c:v>Brace22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29.04</c:v>
              </c:pt>
            </c:numLit>
          </c:xVal>
          <c:yVal>
            <c:numLit>
              <c:formatCode>General</c:formatCode>
              <c:ptCount val="2"/>
              <c:pt idx="0">
                <c:v>-100.98699999999999</c:v>
              </c:pt>
              <c:pt idx="1">
                <c:v>-79.387</c:v>
              </c:pt>
            </c:numLit>
          </c:yVal>
          <c:smooth val="0"/>
        </c:ser>
        <c:ser>
          <c:idx val="28"/>
          <c:order val="28"/>
          <c:tx>
            <c:v>Brace23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27.096000000000004</c:v>
              </c:pt>
            </c:numLit>
          </c:xVal>
          <c:yVal>
            <c:numLit>
              <c:formatCode>General</c:formatCode>
              <c:ptCount val="2"/>
              <c:pt idx="0">
                <c:v>-79.387</c:v>
              </c:pt>
              <c:pt idx="1">
                <c:v>-59.947000000000003</c:v>
              </c:pt>
            </c:numLit>
          </c:yVal>
          <c:smooth val="0"/>
        </c:ser>
        <c:ser>
          <c:idx val="29"/>
          <c:order val="29"/>
          <c:tx>
            <c:v>Brace24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25.346400000000003</c:v>
              </c:pt>
            </c:numLit>
          </c:xVal>
          <c:yVal>
            <c:numLit>
              <c:formatCode>General</c:formatCode>
              <c:ptCount val="2"/>
              <c:pt idx="0">
                <c:v>-59.947000000000003</c:v>
              </c:pt>
              <c:pt idx="1">
                <c:v>-42.451000000000001</c:v>
              </c:pt>
            </c:numLit>
          </c:yVal>
          <c:smooth val="0"/>
        </c:ser>
        <c:ser>
          <c:idx val="30"/>
          <c:order val="30"/>
          <c:tx>
            <c:v>Brace25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23.77176</c:v>
              </c:pt>
            </c:numLit>
          </c:xVal>
          <c:yVal>
            <c:numLit>
              <c:formatCode>General</c:formatCode>
              <c:ptCount val="2"/>
              <c:pt idx="0">
                <c:v>-42.451000000000001</c:v>
              </c:pt>
              <c:pt idx="1">
                <c:v>-26.704599999999999</c:v>
              </c:pt>
            </c:numLit>
          </c:yVal>
          <c:smooth val="0"/>
        </c:ser>
        <c:ser>
          <c:idx val="31"/>
          <c:order val="31"/>
          <c:tx>
            <c:v>Brace26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22.354583999999996</c:v>
              </c:pt>
            </c:numLit>
          </c:xVal>
          <c:yVal>
            <c:numLit>
              <c:formatCode>General</c:formatCode>
              <c:ptCount val="2"/>
              <c:pt idx="0">
                <c:v>-26.704599999999999</c:v>
              </c:pt>
              <c:pt idx="1">
                <c:v>-12.532839999999997</c:v>
              </c:pt>
            </c:numLit>
          </c:yVal>
          <c:smooth val="0"/>
        </c:ser>
        <c:ser>
          <c:idx val="32"/>
          <c:order val="32"/>
          <c:tx>
            <c:v>Brace27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21.079125600000005</c:v>
              </c:pt>
            </c:numLit>
          </c:xVal>
          <c:yVal>
            <c:numLit>
              <c:formatCode>General</c:formatCode>
              <c:ptCount val="2"/>
              <c:pt idx="0">
                <c:v>-12.532839999999997</c:v>
              </c:pt>
              <c:pt idx="1">
                <c:v>0.22174400000000638</c:v>
              </c:pt>
            </c:numLit>
          </c:yVal>
          <c:smooth val="0"/>
        </c:ser>
        <c:ser>
          <c:idx val="33"/>
          <c:order val="33"/>
          <c:tx>
            <c:v>Brace28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19.931213040000003</c:v>
              </c:pt>
            </c:numLit>
          </c:xVal>
          <c:yVal>
            <c:numLit>
              <c:formatCode>General</c:formatCode>
              <c:ptCount val="2"/>
              <c:pt idx="0">
                <c:v>0.22174400000000638</c:v>
              </c:pt>
              <c:pt idx="1">
                <c:v>11.70086960000001</c:v>
              </c:pt>
            </c:numLit>
          </c:yVal>
          <c:smooth val="0"/>
        </c:ser>
        <c:ser>
          <c:idx val="34"/>
          <c:order val="34"/>
          <c:tx>
            <c:v>Brace29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11.999999999999993</c:v>
              </c:pt>
              <c:pt idx="1">
                <c:v>18.898091736000005</c:v>
              </c:pt>
            </c:numLit>
          </c:xVal>
          <c:yVal>
            <c:numLit>
              <c:formatCode>General</c:formatCode>
              <c:ptCount val="2"/>
              <c:pt idx="0">
                <c:v>11.70086960000001</c:v>
              </c:pt>
              <c:pt idx="1">
                <c:v>22.032082640000013</c:v>
              </c:pt>
            </c:numLit>
          </c:yVal>
          <c:smooth val="0"/>
        </c:ser>
        <c:ser>
          <c:idx val="35"/>
          <c:order val="35"/>
          <c:tx>
            <c:v>Brace30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-20.2</c:v>
              </c:pt>
              <c:pt idx="1">
                <c:v>11.999999999999993</c:v>
              </c:pt>
            </c:numLit>
          </c:xVal>
          <c:yVal>
            <c:numLit>
              <c:formatCode>General</c:formatCode>
              <c:ptCount val="2"/>
              <c:pt idx="0">
                <c:v>-100.98699999999999</c:v>
              </c:pt>
              <c:pt idx="1">
                <c:v>-124.98699999999999</c:v>
              </c:pt>
            </c:numLit>
          </c:yVal>
          <c:smooth val="0"/>
        </c:ser>
        <c:ser>
          <c:idx val="36"/>
          <c:order val="36"/>
          <c:tx>
            <c:v>Brace31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-18.04</c:v>
              </c:pt>
              <c:pt idx="1">
                <c:v>11.999999999999993</c:v>
              </c:pt>
            </c:numLit>
          </c:xVal>
          <c:yVal>
            <c:numLit>
              <c:formatCode>General</c:formatCode>
              <c:ptCount val="2"/>
              <c:pt idx="0">
                <c:v>-79.387</c:v>
              </c:pt>
              <c:pt idx="1">
                <c:v>-100.98699999999999</c:v>
              </c:pt>
            </c:numLit>
          </c:yVal>
          <c:smooth val="0"/>
        </c:ser>
        <c:ser>
          <c:idx val="37"/>
          <c:order val="37"/>
          <c:tx>
            <c:v>Brace32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-16.096</c:v>
              </c:pt>
              <c:pt idx="1">
                <c:v>11.999999999999993</c:v>
              </c:pt>
            </c:numLit>
          </c:xVal>
          <c:yVal>
            <c:numLit>
              <c:formatCode>General</c:formatCode>
              <c:ptCount val="2"/>
              <c:pt idx="0">
                <c:v>-59.947000000000003</c:v>
              </c:pt>
              <c:pt idx="1">
                <c:v>-79.387</c:v>
              </c:pt>
            </c:numLit>
          </c:yVal>
          <c:smooth val="0"/>
        </c:ser>
        <c:ser>
          <c:idx val="38"/>
          <c:order val="38"/>
          <c:tx>
            <c:v>Brace33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-14.346400000000001</c:v>
              </c:pt>
              <c:pt idx="1">
                <c:v>11.999999999999993</c:v>
              </c:pt>
            </c:numLit>
          </c:xVal>
          <c:yVal>
            <c:numLit>
              <c:formatCode>General</c:formatCode>
              <c:ptCount val="2"/>
              <c:pt idx="0">
                <c:v>-42.451000000000001</c:v>
              </c:pt>
              <c:pt idx="1">
                <c:v>-59.947000000000003</c:v>
              </c:pt>
            </c:numLit>
          </c:yVal>
          <c:smooth val="0"/>
        </c:ser>
        <c:ser>
          <c:idx val="39"/>
          <c:order val="39"/>
          <c:tx>
            <c:v>Brace34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-12.77176</c:v>
              </c:pt>
              <c:pt idx="1">
                <c:v>11.999999999999993</c:v>
              </c:pt>
            </c:numLit>
          </c:xVal>
          <c:yVal>
            <c:numLit>
              <c:formatCode>General</c:formatCode>
              <c:ptCount val="2"/>
              <c:pt idx="0">
                <c:v>-26.704599999999999</c:v>
              </c:pt>
              <c:pt idx="1">
                <c:v>-42.451000000000001</c:v>
              </c:pt>
            </c:numLit>
          </c:yVal>
          <c:smooth val="0"/>
        </c:ser>
        <c:ser>
          <c:idx val="40"/>
          <c:order val="40"/>
          <c:tx>
            <c:v>Brace35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-11.354584000000001</c:v>
              </c:pt>
              <c:pt idx="1">
                <c:v>11.999999999999993</c:v>
              </c:pt>
            </c:numLit>
          </c:xVal>
          <c:yVal>
            <c:numLit>
              <c:formatCode>General</c:formatCode>
              <c:ptCount val="2"/>
              <c:pt idx="0">
                <c:v>-12.532839999999997</c:v>
              </c:pt>
              <c:pt idx="1">
                <c:v>-26.704599999999999</c:v>
              </c:pt>
            </c:numLit>
          </c:yVal>
          <c:smooth val="0"/>
        </c:ser>
        <c:ser>
          <c:idx val="41"/>
          <c:order val="41"/>
          <c:tx>
            <c:v>Brace36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-10.079125600000003</c:v>
              </c:pt>
              <c:pt idx="1">
                <c:v>11.999999999999993</c:v>
              </c:pt>
            </c:numLit>
          </c:xVal>
          <c:yVal>
            <c:numLit>
              <c:formatCode>General</c:formatCode>
              <c:ptCount val="2"/>
              <c:pt idx="0">
                <c:v>0.22174400000000638</c:v>
              </c:pt>
              <c:pt idx="1">
                <c:v>-12.532839999999997</c:v>
              </c:pt>
            </c:numLit>
          </c:yVal>
          <c:smooth val="0"/>
        </c:ser>
        <c:ser>
          <c:idx val="42"/>
          <c:order val="42"/>
          <c:tx>
            <c:v>Brace37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-8.9312130399999994</c:v>
              </c:pt>
              <c:pt idx="1">
                <c:v>11.999999999999993</c:v>
              </c:pt>
            </c:numLit>
          </c:xVal>
          <c:yVal>
            <c:numLit>
              <c:formatCode>General</c:formatCode>
              <c:ptCount val="2"/>
              <c:pt idx="0">
                <c:v>11.70086960000001</c:v>
              </c:pt>
              <c:pt idx="1">
                <c:v>0.22174400000000638</c:v>
              </c:pt>
            </c:numLit>
          </c:yVal>
          <c:smooth val="0"/>
        </c:ser>
        <c:ser>
          <c:idx val="43"/>
          <c:order val="43"/>
          <c:tx>
            <c:v>Brace38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-7.8980917359999996</c:v>
              </c:pt>
              <c:pt idx="1">
                <c:v>11.999999999999993</c:v>
              </c:pt>
            </c:numLit>
          </c:xVal>
          <c:yVal>
            <c:numLit>
              <c:formatCode>General</c:formatCode>
              <c:ptCount val="2"/>
              <c:pt idx="0">
                <c:v>22.032082640000013</c:v>
              </c:pt>
              <c:pt idx="1">
                <c:v>11.70086960000001</c:v>
              </c:pt>
            </c:numLit>
          </c:yVal>
          <c:smooth val="0"/>
        </c:ser>
        <c:dLbls>
          <c:showLegendKey val="0"/>
          <c:showVal val="0"/>
          <c:showCatName val="0"/>
          <c:showSerName val="0"/>
          <c:showPercent val="0"/>
          <c:showBubbleSize val="0"/>
        </c:dLbls>
        <c:axId val="166312192"/>
        <c:axId val="151053056"/>
      </c:scatterChart>
      <c:valAx>
        <c:axId val="166312192"/>
        <c:scaling>
          <c:orientation val="minMax"/>
          <c:max val="100"/>
          <c:min val="-90"/>
        </c:scaling>
        <c:delete val="0"/>
        <c:axPos val="b"/>
        <c:title>
          <c:tx>
            <c:rich>
              <a:bodyPr/>
              <a:lstStyle/>
              <a:p>
                <a:pPr>
                  <a:defRPr/>
                </a:pPr>
                <a:r>
                  <a:rPr lang="nb-NO"/>
                  <a:t>X Axis</a:t>
                </a:r>
              </a:p>
            </c:rich>
          </c:tx>
          <c:layout/>
          <c:overlay val="0"/>
        </c:title>
        <c:numFmt formatCode="General" sourceLinked="1"/>
        <c:majorTickMark val="out"/>
        <c:minorTickMark val="none"/>
        <c:tickLblPos val="nextTo"/>
        <c:crossAx val="151053056"/>
        <c:crosses val="autoZero"/>
        <c:crossBetween val="midCat"/>
      </c:valAx>
      <c:valAx>
        <c:axId val="151053056"/>
        <c:scaling>
          <c:orientation val="minMax"/>
          <c:max val="40"/>
          <c:min val="-150"/>
        </c:scaling>
        <c:delete val="0"/>
        <c:axPos val="l"/>
        <c:title>
          <c:tx>
            <c:rich>
              <a:bodyPr/>
              <a:lstStyle/>
              <a:p>
                <a:pPr>
                  <a:defRPr/>
                </a:pPr>
                <a:r>
                  <a:rPr lang="nb-NO"/>
                  <a:t>Z Axis</a:t>
                </a:r>
              </a:p>
            </c:rich>
          </c:tx>
          <c:layout/>
          <c:overlay val="0"/>
        </c:title>
        <c:numFmt formatCode="General" sourceLinked="1"/>
        <c:majorTickMark val="out"/>
        <c:minorTickMark val="none"/>
        <c:tickLblPos val="nextTo"/>
        <c:crossAx val="166312192"/>
        <c:crosses val="autoZero"/>
        <c:crossBetween val="midCat"/>
      </c:valAx>
      <c:spPr>
        <a:solidFill>
          <a:srgbClr val="CCFFFF"/>
        </a:solidFill>
      </c:spPr>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YZ Plot</a:t>
            </a:r>
          </a:p>
        </c:rich>
      </c:tx>
      <c:layout/>
      <c:overlay val="0"/>
    </c:title>
    <c:autoTitleDeleted val="0"/>
    <c:plotArea>
      <c:layout>
        <c:manualLayout>
          <c:xMode val="edge"/>
          <c:yMode val="edge"/>
          <c:x val="7.8431372549019607E-2"/>
          <c:y val="7.9800498753117205E-2"/>
          <c:w val="0.91748366013071891"/>
          <c:h val="0.82385689320007072"/>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A</a:t>
                    </a:r>
                  </a:p>
                </c:rich>
              </c:tx>
              <c:dLblPos val="r"/>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-45</c:v>
              </c:pt>
              <c:pt idx="1">
                <c:v>-29.898091735999998</c:v>
              </c:pt>
            </c:numLit>
          </c:xVal>
          <c:yVal>
            <c:numLit>
              <c:formatCode>General</c:formatCode>
              <c:ptCount val="2"/>
              <c:pt idx="0">
                <c:v>-128.98699999999999</c:v>
              </c:pt>
              <c:pt idx="1">
                <c:v>22.032082640000013</c:v>
              </c:pt>
            </c:numLit>
          </c:yVal>
          <c:smooth val="0"/>
        </c:ser>
        <c:ser>
          <c:idx val="1"/>
          <c:order val="1"/>
          <c:tx>
            <c:v>Leg2</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B</a:t>
                    </a:r>
                  </a:p>
                </c:rich>
              </c:tx>
              <c:dLblPos val="r"/>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-20</c:v>
              </c:pt>
              <c:pt idx="1">
                <c:v>-20</c:v>
              </c:pt>
            </c:numLit>
          </c:xVal>
          <c:yVal>
            <c:numLit>
              <c:formatCode>General</c:formatCode>
              <c:ptCount val="2"/>
              <c:pt idx="0">
                <c:v>-128.98699999999999</c:v>
              </c:pt>
              <c:pt idx="1">
                <c:v>22.032082640000013</c:v>
              </c:pt>
            </c:numLit>
          </c:yVal>
          <c:smooth val="0"/>
        </c:ser>
        <c:ser>
          <c:idx val="2"/>
          <c:order val="2"/>
          <c:tx>
            <c:v>Leg3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C</a:t>
                    </a:r>
                  </a:p>
                </c:rich>
              </c:tx>
              <c:dLblPos val="r"/>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-5</c:v>
              </c:pt>
              <c:pt idx="1">
                <c:v>-5</c:v>
              </c:pt>
            </c:numLit>
          </c:xVal>
          <c:yVal>
            <c:numLit>
              <c:formatCode>General</c:formatCode>
              <c:ptCount val="2"/>
              <c:pt idx="0">
                <c:v>-128.98699999999999</c:v>
              </c:pt>
              <c:pt idx="1">
                <c:v>22.032082640000013</c:v>
              </c:pt>
            </c:numLit>
          </c:yVal>
          <c:smooth val="0"/>
        </c:ser>
        <c:ser>
          <c:idx val="3"/>
          <c:order val="3"/>
          <c:tx>
            <c:v>Leg4</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D</a:t>
                    </a:r>
                  </a:p>
                </c:rich>
              </c:tx>
              <c:dLblPos val="r"/>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20</c:v>
              </c:pt>
              <c:pt idx="1">
                <c:v>4.8980917359999987</c:v>
              </c:pt>
            </c:numLit>
          </c:xVal>
          <c:yVal>
            <c:numLit>
              <c:formatCode>General</c:formatCode>
              <c:ptCount val="2"/>
              <c:pt idx="0">
                <c:v>-128.98699999999999</c:v>
              </c:pt>
              <c:pt idx="1">
                <c:v>22.032082640000013</c:v>
              </c:pt>
            </c:numLit>
          </c:yVal>
          <c:smooth val="0"/>
        </c:ser>
        <c:ser>
          <c:idx val="4"/>
          <c:order val="4"/>
          <c:tx>
            <c:v>Leg5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-29.898091735999998</c:v>
              </c:pt>
              <c:pt idx="1">
                <c:v>-29.898091735999998</c:v>
              </c:pt>
            </c:numLit>
          </c:xVal>
          <c:yVal>
            <c:numLit>
              <c:formatCode>General</c:formatCode>
              <c:ptCount val="2"/>
              <c:pt idx="0">
                <c:v>22.032082640000013</c:v>
              </c:pt>
              <c:pt idx="1">
                <c:v>26.032082640000013</c:v>
              </c:pt>
            </c:numLit>
          </c:yVal>
          <c:smooth val="0"/>
        </c:ser>
        <c:ser>
          <c:idx val="5"/>
          <c:order val="5"/>
          <c:tx>
            <c:v>Leg6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-20</c:v>
              </c:pt>
            </c:numLit>
          </c:xVal>
          <c:yVal>
            <c:numLit>
              <c:formatCode>General</c:formatCode>
              <c:ptCount val="2"/>
              <c:pt idx="0">
                <c:v>22.032082640000013</c:v>
              </c:pt>
              <c:pt idx="1">
                <c:v>26.032082640000013</c:v>
              </c:pt>
            </c:numLit>
          </c:yVal>
          <c:smooth val="0"/>
        </c:ser>
        <c:ser>
          <c:idx val="6"/>
          <c:order val="6"/>
          <c:tx>
            <c:v>Leg7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-5</c:v>
              </c:pt>
            </c:numLit>
          </c:xVal>
          <c:yVal>
            <c:numLit>
              <c:formatCode>General</c:formatCode>
              <c:ptCount val="2"/>
              <c:pt idx="0">
                <c:v>22.032082640000013</c:v>
              </c:pt>
              <c:pt idx="1">
                <c:v>26.032082640000013</c:v>
              </c:pt>
            </c:numLit>
          </c:yVal>
          <c:smooth val="0"/>
        </c:ser>
        <c:ser>
          <c:idx val="7"/>
          <c:order val="7"/>
          <c:tx>
            <c:v>Leg8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4.8980917359999987</c:v>
              </c:pt>
              <c:pt idx="1">
                <c:v>4.8980917359999987</c:v>
              </c:pt>
            </c:numLit>
          </c:xVal>
          <c:yVal>
            <c:numLit>
              <c:formatCode>General</c:formatCode>
              <c:ptCount val="2"/>
              <c:pt idx="0">
                <c:v>22.032082640000013</c:v>
              </c:pt>
              <c:pt idx="1">
                <c:v>26.032082640000013</c:v>
              </c:pt>
            </c:numLit>
          </c:yVal>
          <c:smooth val="0"/>
        </c:ser>
        <c:ser>
          <c:idx val="8"/>
          <c:order val="8"/>
          <c:tx>
            <c:v>Brace1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Z1</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-44.6</c:v>
              </c:pt>
              <c:pt idx="1">
                <c:v>-20</c:v>
              </c:pt>
            </c:numLit>
          </c:xVal>
          <c:yVal>
            <c:numLit>
              <c:formatCode>General</c:formatCode>
              <c:ptCount val="2"/>
              <c:pt idx="0">
                <c:v>-124.98699999999999</c:v>
              </c:pt>
              <c:pt idx="1">
                <c:v>-124.98699999999999</c:v>
              </c:pt>
            </c:numLit>
          </c:yVal>
          <c:smooth val="0"/>
        </c:ser>
        <c:ser>
          <c:idx val="9"/>
          <c:order val="9"/>
          <c:tx>
            <c:v>Brace2</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Z2</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-42.2</c:v>
              </c:pt>
              <c:pt idx="1">
                <c:v>-20</c:v>
              </c:pt>
            </c:numLit>
          </c:xVal>
          <c:yVal>
            <c:numLit>
              <c:formatCode>General</c:formatCode>
              <c:ptCount val="2"/>
              <c:pt idx="0">
                <c:v>-100.98699999999999</c:v>
              </c:pt>
              <c:pt idx="1">
                <c:v>-100.98699999999999</c:v>
              </c:pt>
            </c:numLit>
          </c:yVal>
          <c:smooth val="0"/>
        </c:ser>
        <c:ser>
          <c:idx val="10"/>
          <c:order val="10"/>
          <c:tx>
            <c:v>Brace3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Z3</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-40.04</c:v>
              </c:pt>
              <c:pt idx="1">
                <c:v>-20</c:v>
              </c:pt>
            </c:numLit>
          </c:xVal>
          <c:yVal>
            <c:numLit>
              <c:formatCode>General</c:formatCode>
              <c:ptCount val="2"/>
              <c:pt idx="0">
                <c:v>-79.387</c:v>
              </c:pt>
              <c:pt idx="1">
                <c:v>-79.387</c:v>
              </c:pt>
            </c:numLit>
          </c:yVal>
          <c:smooth val="0"/>
        </c:ser>
        <c:ser>
          <c:idx val="11"/>
          <c:order val="11"/>
          <c:tx>
            <c:v>Brace4</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Z4</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-38.096000000000004</c:v>
              </c:pt>
              <c:pt idx="1">
                <c:v>-20</c:v>
              </c:pt>
            </c:numLit>
          </c:xVal>
          <c:yVal>
            <c:numLit>
              <c:formatCode>General</c:formatCode>
              <c:ptCount val="2"/>
              <c:pt idx="0">
                <c:v>-59.947000000000003</c:v>
              </c:pt>
              <c:pt idx="1">
                <c:v>-59.947000000000003</c:v>
              </c:pt>
            </c:numLit>
          </c:yVal>
          <c:smooth val="0"/>
        </c:ser>
        <c:ser>
          <c:idx val="12"/>
          <c:order val="12"/>
          <c:tx>
            <c:v>Brace5</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Z5</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-36.346400000000003</c:v>
              </c:pt>
              <c:pt idx="1">
                <c:v>-20</c:v>
              </c:pt>
            </c:numLit>
          </c:xVal>
          <c:yVal>
            <c:numLit>
              <c:formatCode>General</c:formatCode>
              <c:ptCount val="2"/>
              <c:pt idx="0">
                <c:v>-42.451000000000001</c:v>
              </c:pt>
              <c:pt idx="1">
                <c:v>-42.451000000000001</c:v>
              </c:pt>
            </c:numLit>
          </c:yVal>
          <c:smooth val="0"/>
        </c:ser>
        <c:ser>
          <c:idx val="13"/>
          <c:order val="13"/>
          <c:tx>
            <c:v>Brace6</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Z6</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-34.77176</c:v>
              </c:pt>
              <c:pt idx="1">
                <c:v>-20</c:v>
              </c:pt>
            </c:numLit>
          </c:xVal>
          <c:yVal>
            <c:numLit>
              <c:formatCode>General</c:formatCode>
              <c:ptCount val="2"/>
              <c:pt idx="0">
                <c:v>-26.704599999999999</c:v>
              </c:pt>
              <c:pt idx="1">
                <c:v>-26.704599999999999</c:v>
              </c:pt>
            </c:numLit>
          </c:yVal>
          <c:smooth val="0"/>
        </c:ser>
        <c:ser>
          <c:idx val="14"/>
          <c:order val="14"/>
          <c:tx>
            <c:v>Brace7</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Z7</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-33.354584000000003</c:v>
              </c:pt>
              <c:pt idx="1">
                <c:v>-20</c:v>
              </c:pt>
            </c:numLit>
          </c:xVal>
          <c:yVal>
            <c:numLit>
              <c:formatCode>General</c:formatCode>
              <c:ptCount val="2"/>
              <c:pt idx="0">
                <c:v>-12.532839999999997</c:v>
              </c:pt>
              <c:pt idx="1">
                <c:v>-12.532839999999997</c:v>
              </c:pt>
            </c:numLit>
          </c:yVal>
          <c:smooth val="0"/>
        </c:ser>
        <c:ser>
          <c:idx val="15"/>
          <c:order val="15"/>
          <c:tx>
            <c:v>Brace8</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Z8</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-32.079125599999998</c:v>
              </c:pt>
              <c:pt idx="1">
                <c:v>-20</c:v>
              </c:pt>
            </c:numLit>
          </c:xVal>
          <c:yVal>
            <c:numLit>
              <c:formatCode>General</c:formatCode>
              <c:ptCount val="2"/>
              <c:pt idx="0">
                <c:v>0.22174400000000638</c:v>
              </c:pt>
              <c:pt idx="1">
                <c:v>0.22174400000000638</c:v>
              </c:pt>
            </c:numLit>
          </c:yVal>
          <c:smooth val="0"/>
        </c:ser>
        <c:ser>
          <c:idx val="16"/>
          <c:order val="16"/>
          <c:tx>
            <c:v>Brace9</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Z9</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-30.931213039999996</c:v>
              </c:pt>
              <c:pt idx="1">
                <c:v>-20</c:v>
              </c:pt>
            </c:numLit>
          </c:xVal>
          <c:yVal>
            <c:numLit>
              <c:formatCode>General</c:formatCode>
              <c:ptCount val="2"/>
              <c:pt idx="0">
                <c:v>11.70086960000001</c:v>
              </c:pt>
              <c:pt idx="1">
                <c:v>11.70086960000001</c:v>
              </c:pt>
            </c:numLit>
          </c:yVal>
          <c:smooth val="0"/>
        </c:ser>
        <c:ser>
          <c:idx val="17"/>
          <c:order val="17"/>
          <c:tx>
            <c:v>Brace10</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Z10</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-29.898091735999998</c:v>
              </c:pt>
              <c:pt idx="1">
                <c:v>-20</c:v>
              </c:pt>
            </c:numLit>
          </c:xVal>
          <c:yVal>
            <c:numLit>
              <c:formatCode>General</c:formatCode>
              <c:ptCount val="2"/>
              <c:pt idx="0">
                <c:v>22.032082640000013</c:v>
              </c:pt>
              <c:pt idx="1">
                <c:v>22.032082640000013</c:v>
              </c:pt>
            </c:numLit>
          </c:yVal>
          <c:smooth val="0"/>
        </c:ser>
        <c:ser>
          <c:idx val="18"/>
          <c:order val="18"/>
          <c:tx>
            <c:v>Brace11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-124.98699999999999</c:v>
              </c:pt>
              <c:pt idx="1">
                <c:v>-124.98699999999999</c:v>
              </c:pt>
            </c:numLit>
          </c:yVal>
          <c:smooth val="0"/>
        </c:ser>
        <c:ser>
          <c:idx val="19"/>
          <c:order val="19"/>
          <c:tx>
            <c:v>Brace12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-100.98699999999999</c:v>
              </c:pt>
              <c:pt idx="1">
                <c:v>-100.98699999999999</c:v>
              </c:pt>
            </c:numLit>
          </c:yVal>
          <c:smooth val="0"/>
        </c:ser>
        <c:ser>
          <c:idx val="20"/>
          <c:order val="20"/>
          <c:tx>
            <c:v>Brace13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-79.387</c:v>
              </c:pt>
              <c:pt idx="1">
                <c:v>-79.387</c:v>
              </c:pt>
            </c:numLit>
          </c:yVal>
          <c:smooth val="0"/>
        </c:ser>
        <c:ser>
          <c:idx val="21"/>
          <c:order val="21"/>
          <c:tx>
            <c:v>Brace14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-59.947000000000003</c:v>
              </c:pt>
              <c:pt idx="1">
                <c:v>-59.947000000000003</c:v>
              </c:pt>
            </c:numLit>
          </c:yVal>
          <c:smooth val="0"/>
        </c:ser>
        <c:ser>
          <c:idx val="22"/>
          <c:order val="22"/>
          <c:tx>
            <c:v>Brace15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-42.451000000000001</c:v>
              </c:pt>
              <c:pt idx="1">
                <c:v>-42.451000000000001</c:v>
              </c:pt>
            </c:numLit>
          </c:yVal>
          <c:smooth val="0"/>
        </c:ser>
        <c:ser>
          <c:idx val="23"/>
          <c:order val="23"/>
          <c:tx>
            <c:v>Brace16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-26.704599999999999</c:v>
              </c:pt>
              <c:pt idx="1">
                <c:v>-26.704599999999999</c:v>
              </c:pt>
            </c:numLit>
          </c:yVal>
          <c:smooth val="0"/>
        </c:ser>
        <c:ser>
          <c:idx val="24"/>
          <c:order val="24"/>
          <c:tx>
            <c:v>Brace17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-12.532839999999997</c:v>
              </c:pt>
              <c:pt idx="1">
                <c:v>-12.532839999999997</c:v>
              </c:pt>
            </c:numLit>
          </c:yVal>
          <c:smooth val="0"/>
        </c:ser>
        <c:ser>
          <c:idx val="25"/>
          <c:order val="25"/>
          <c:tx>
            <c:v>Brace18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0.22174400000000638</c:v>
              </c:pt>
              <c:pt idx="1">
                <c:v>0.22174400000000638</c:v>
              </c:pt>
            </c:numLit>
          </c:yVal>
          <c:smooth val="0"/>
        </c:ser>
        <c:ser>
          <c:idx val="26"/>
          <c:order val="26"/>
          <c:tx>
            <c:v>Brace19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11.70086960000001</c:v>
              </c:pt>
              <c:pt idx="1">
                <c:v>11.70086960000001</c:v>
              </c:pt>
            </c:numLit>
          </c:yVal>
          <c:smooth val="0"/>
        </c:ser>
        <c:ser>
          <c:idx val="27"/>
          <c:order val="27"/>
          <c:tx>
            <c:v>Brace20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22.032082640000013</c:v>
              </c:pt>
              <c:pt idx="1">
                <c:v>22.032082640000013</c:v>
              </c:pt>
            </c:numLit>
          </c:yVal>
          <c:smooth val="0"/>
        </c:ser>
        <c:ser>
          <c:idx val="28"/>
          <c:order val="28"/>
          <c:tx>
            <c:v>Brace21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19.599999999999994</c:v>
              </c:pt>
            </c:numLit>
          </c:xVal>
          <c:yVal>
            <c:numLit>
              <c:formatCode>General</c:formatCode>
              <c:ptCount val="2"/>
              <c:pt idx="0">
                <c:v>-124.98699999999999</c:v>
              </c:pt>
              <c:pt idx="1">
                <c:v>-124.98699999999999</c:v>
              </c:pt>
            </c:numLit>
          </c:yVal>
          <c:smooth val="0"/>
        </c:ser>
        <c:ser>
          <c:idx val="29"/>
          <c:order val="29"/>
          <c:tx>
            <c:v>Brace22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17.199999999999996</c:v>
              </c:pt>
            </c:numLit>
          </c:xVal>
          <c:yVal>
            <c:numLit>
              <c:formatCode>General</c:formatCode>
              <c:ptCount val="2"/>
              <c:pt idx="0">
                <c:v>-100.98699999999999</c:v>
              </c:pt>
              <c:pt idx="1">
                <c:v>-100.98699999999999</c:v>
              </c:pt>
            </c:numLit>
          </c:yVal>
          <c:smooth val="0"/>
        </c:ser>
        <c:ser>
          <c:idx val="30"/>
          <c:order val="30"/>
          <c:tx>
            <c:v>Brace23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15.04</c:v>
              </c:pt>
            </c:numLit>
          </c:xVal>
          <c:yVal>
            <c:numLit>
              <c:formatCode>General</c:formatCode>
              <c:ptCount val="2"/>
              <c:pt idx="0">
                <c:v>-79.387</c:v>
              </c:pt>
              <c:pt idx="1">
                <c:v>-79.387</c:v>
              </c:pt>
            </c:numLit>
          </c:yVal>
          <c:smooth val="0"/>
        </c:ser>
        <c:ser>
          <c:idx val="31"/>
          <c:order val="31"/>
          <c:tx>
            <c:v>Brace24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13.095999999999997</c:v>
              </c:pt>
            </c:numLit>
          </c:xVal>
          <c:yVal>
            <c:numLit>
              <c:formatCode>General</c:formatCode>
              <c:ptCount val="2"/>
              <c:pt idx="0">
                <c:v>-59.947000000000003</c:v>
              </c:pt>
              <c:pt idx="1">
                <c:v>-59.947000000000003</c:v>
              </c:pt>
            </c:numLit>
          </c:yVal>
          <c:smooth val="0"/>
        </c:ser>
        <c:ser>
          <c:idx val="32"/>
          <c:order val="32"/>
          <c:tx>
            <c:v>Brace25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11.346400000000003</c:v>
              </c:pt>
            </c:numLit>
          </c:xVal>
          <c:yVal>
            <c:numLit>
              <c:formatCode>General</c:formatCode>
              <c:ptCount val="2"/>
              <c:pt idx="0">
                <c:v>-42.451000000000001</c:v>
              </c:pt>
              <c:pt idx="1">
                <c:v>-42.451000000000001</c:v>
              </c:pt>
            </c:numLit>
          </c:yVal>
          <c:smooth val="0"/>
        </c:ser>
        <c:ser>
          <c:idx val="33"/>
          <c:order val="33"/>
          <c:tx>
            <c:v>Brace26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9.7717599999999933</c:v>
              </c:pt>
            </c:numLit>
          </c:xVal>
          <c:yVal>
            <c:numLit>
              <c:formatCode>General</c:formatCode>
              <c:ptCount val="2"/>
              <c:pt idx="0">
                <c:v>-26.704599999999999</c:v>
              </c:pt>
              <c:pt idx="1">
                <c:v>-26.704599999999999</c:v>
              </c:pt>
            </c:numLit>
          </c:yVal>
          <c:smooth val="0"/>
        </c:ser>
        <c:ser>
          <c:idx val="34"/>
          <c:order val="34"/>
          <c:tx>
            <c:v>Brace27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8.3545839999999956</c:v>
              </c:pt>
            </c:numLit>
          </c:xVal>
          <c:yVal>
            <c:numLit>
              <c:formatCode>General</c:formatCode>
              <c:ptCount val="2"/>
              <c:pt idx="0">
                <c:v>-12.532839999999997</c:v>
              </c:pt>
              <c:pt idx="1">
                <c:v>-12.532839999999997</c:v>
              </c:pt>
            </c:numLit>
          </c:yVal>
          <c:smooth val="0"/>
        </c:ser>
        <c:ser>
          <c:idx val="35"/>
          <c:order val="35"/>
          <c:tx>
            <c:v>Brace28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7.0791256000000047</c:v>
              </c:pt>
            </c:numLit>
          </c:xVal>
          <c:yVal>
            <c:numLit>
              <c:formatCode>General</c:formatCode>
              <c:ptCount val="2"/>
              <c:pt idx="0">
                <c:v>0.22174400000000638</c:v>
              </c:pt>
              <c:pt idx="1">
                <c:v>0.22174400000000638</c:v>
              </c:pt>
            </c:numLit>
          </c:yVal>
          <c:smooth val="0"/>
        </c:ser>
        <c:ser>
          <c:idx val="36"/>
          <c:order val="36"/>
          <c:tx>
            <c:v>Brace29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5.9312130399999958</c:v>
              </c:pt>
            </c:numLit>
          </c:xVal>
          <c:yVal>
            <c:numLit>
              <c:formatCode>General</c:formatCode>
              <c:ptCount val="2"/>
              <c:pt idx="0">
                <c:v>11.70086960000001</c:v>
              </c:pt>
              <c:pt idx="1">
                <c:v>11.70086960000001</c:v>
              </c:pt>
            </c:numLit>
          </c:yVal>
          <c:smooth val="0"/>
        </c:ser>
        <c:ser>
          <c:idx val="37"/>
          <c:order val="37"/>
          <c:tx>
            <c:v>Brace30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4.8980917359999978</c:v>
              </c:pt>
            </c:numLit>
          </c:xVal>
          <c:yVal>
            <c:numLit>
              <c:formatCode>General</c:formatCode>
              <c:ptCount val="2"/>
              <c:pt idx="0">
                <c:v>22.032082640000013</c:v>
              </c:pt>
              <c:pt idx="1">
                <c:v>22.032082640000013</c:v>
              </c:pt>
            </c:numLit>
          </c:yVal>
          <c:smooth val="0"/>
        </c:ser>
        <c:ser>
          <c:idx val="38"/>
          <c:order val="38"/>
          <c:tx>
            <c:v>Brace31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-124.98699999999999</c:v>
              </c:pt>
              <c:pt idx="1">
                <c:v>-100.98699999999999</c:v>
              </c:pt>
            </c:numLit>
          </c:yVal>
          <c:smooth val="0"/>
        </c:ser>
        <c:ser>
          <c:idx val="39"/>
          <c:order val="39"/>
          <c:tx>
            <c:v>Brace32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-100.98699999999999</c:v>
              </c:pt>
              <c:pt idx="1">
                <c:v>-79.387</c:v>
              </c:pt>
            </c:numLit>
          </c:yVal>
          <c:smooth val="0"/>
        </c:ser>
        <c:ser>
          <c:idx val="40"/>
          <c:order val="40"/>
          <c:tx>
            <c:v>Brace33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-79.387</c:v>
              </c:pt>
              <c:pt idx="1">
                <c:v>-59.947000000000003</c:v>
              </c:pt>
            </c:numLit>
          </c:yVal>
          <c:smooth val="0"/>
        </c:ser>
        <c:ser>
          <c:idx val="41"/>
          <c:order val="41"/>
          <c:tx>
            <c:v>Brace34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-59.947000000000003</c:v>
              </c:pt>
              <c:pt idx="1">
                <c:v>-42.451000000000001</c:v>
              </c:pt>
            </c:numLit>
          </c:yVal>
          <c:smooth val="0"/>
        </c:ser>
        <c:ser>
          <c:idx val="42"/>
          <c:order val="42"/>
          <c:tx>
            <c:v>Brace35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-42.451000000000001</c:v>
              </c:pt>
              <c:pt idx="1">
                <c:v>-26.704599999999999</c:v>
              </c:pt>
            </c:numLit>
          </c:yVal>
          <c:smooth val="0"/>
        </c:ser>
        <c:ser>
          <c:idx val="43"/>
          <c:order val="43"/>
          <c:tx>
            <c:v>Brace36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-26.704599999999999</c:v>
              </c:pt>
              <c:pt idx="1">
                <c:v>-12.532839999999997</c:v>
              </c:pt>
            </c:numLit>
          </c:yVal>
          <c:smooth val="0"/>
        </c:ser>
        <c:ser>
          <c:idx val="44"/>
          <c:order val="44"/>
          <c:tx>
            <c:v>Brace37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-12.532839999999997</c:v>
              </c:pt>
              <c:pt idx="1">
                <c:v>0.22174400000000638</c:v>
              </c:pt>
            </c:numLit>
          </c:yVal>
          <c:smooth val="0"/>
        </c:ser>
        <c:ser>
          <c:idx val="45"/>
          <c:order val="45"/>
          <c:tx>
            <c:v>Brace38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0.22174400000000638</c:v>
              </c:pt>
              <c:pt idx="1">
                <c:v>11.70086960000001</c:v>
              </c:pt>
            </c:numLit>
          </c:yVal>
          <c:smooth val="0"/>
        </c:ser>
        <c:ser>
          <c:idx val="46"/>
          <c:order val="46"/>
          <c:tx>
            <c:v>Brace39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11.70086960000001</c:v>
              </c:pt>
              <c:pt idx="1">
                <c:v>22.032082640000013</c:v>
              </c:pt>
            </c:numLit>
          </c:yVal>
          <c:smooth val="0"/>
        </c:ser>
        <c:ser>
          <c:idx val="47"/>
          <c:order val="47"/>
          <c:tx>
            <c:v>Brace40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17.199999999999996</c:v>
              </c:pt>
            </c:numLit>
          </c:xVal>
          <c:yVal>
            <c:numLit>
              <c:formatCode>General</c:formatCode>
              <c:ptCount val="2"/>
              <c:pt idx="0">
                <c:v>-124.98699999999999</c:v>
              </c:pt>
              <c:pt idx="1">
                <c:v>-100.98699999999999</c:v>
              </c:pt>
            </c:numLit>
          </c:yVal>
          <c:smooth val="0"/>
        </c:ser>
        <c:ser>
          <c:idx val="48"/>
          <c:order val="48"/>
          <c:tx>
            <c:v>Brace41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15.04</c:v>
              </c:pt>
            </c:numLit>
          </c:xVal>
          <c:yVal>
            <c:numLit>
              <c:formatCode>General</c:formatCode>
              <c:ptCount val="2"/>
              <c:pt idx="0">
                <c:v>-100.98699999999999</c:v>
              </c:pt>
              <c:pt idx="1">
                <c:v>-79.387</c:v>
              </c:pt>
            </c:numLit>
          </c:yVal>
          <c:smooth val="0"/>
        </c:ser>
        <c:ser>
          <c:idx val="49"/>
          <c:order val="49"/>
          <c:tx>
            <c:v>Brace42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13.095999999999997</c:v>
              </c:pt>
            </c:numLit>
          </c:xVal>
          <c:yVal>
            <c:numLit>
              <c:formatCode>General</c:formatCode>
              <c:ptCount val="2"/>
              <c:pt idx="0">
                <c:v>-79.387</c:v>
              </c:pt>
              <c:pt idx="1">
                <c:v>-59.947000000000003</c:v>
              </c:pt>
            </c:numLit>
          </c:yVal>
          <c:smooth val="0"/>
        </c:ser>
        <c:ser>
          <c:idx val="50"/>
          <c:order val="50"/>
          <c:tx>
            <c:v>Brace43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11.346400000000003</c:v>
              </c:pt>
            </c:numLit>
          </c:xVal>
          <c:yVal>
            <c:numLit>
              <c:formatCode>General</c:formatCode>
              <c:ptCount val="2"/>
              <c:pt idx="0">
                <c:v>-59.947000000000003</c:v>
              </c:pt>
              <c:pt idx="1">
                <c:v>-42.451000000000001</c:v>
              </c:pt>
            </c:numLit>
          </c:yVal>
          <c:smooth val="0"/>
        </c:ser>
        <c:ser>
          <c:idx val="51"/>
          <c:order val="51"/>
          <c:tx>
            <c:v>Brace44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9.7717599999999933</c:v>
              </c:pt>
            </c:numLit>
          </c:xVal>
          <c:yVal>
            <c:numLit>
              <c:formatCode>General</c:formatCode>
              <c:ptCount val="2"/>
              <c:pt idx="0">
                <c:v>-42.451000000000001</c:v>
              </c:pt>
              <c:pt idx="1">
                <c:v>-26.704599999999999</c:v>
              </c:pt>
            </c:numLit>
          </c:yVal>
          <c:smooth val="0"/>
        </c:ser>
        <c:ser>
          <c:idx val="52"/>
          <c:order val="52"/>
          <c:tx>
            <c:v>Brace45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8.3545839999999956</c:v>
              </c:pt>
            </c:numLit>
          </c:xVal>
          <c:yVal>
            <c:numLit>
              <c:formatCode>General</c:formatCode>
              <c:ptCount val="2"/>
              <c:pt idx="0">
                <c:v>-26.704599999999999</c:v>
              </c:pt>
              <c:pt idx="1">
                <c:v>-12.532839999999997</c:v>
              </c:pt>
            </c:numLit>
          </c:yVal>
          <c:smooth val="0"/>
        </c:ser>
        <c:ser>
          <c:idx val="53"/>
          <c:order val="53"/>
          <c:tx>
            <c:v>Brace46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7.0791256000000047</c:v>
              </c:pt>
            </c:numLit>
          </c:xVal>
          <c:yVal>
            <c:numLit>
              <c:formatCode>General</c:formatCode>
              <c:ptCount val="2"/>
              <c:pt idx="0">
                <c:v>-12.532839999999997</c:v>
              </c:pt>
              <c:pt idx="1">
                <c:v>0.22174400000000638</c:v>
              </c:pt>
            </c:numLit>
          </c:yVal>
          <c:smooth val="0"/>
        </c:ser>
        <c:ser>
          <c:idx val="54"/>
          <c:order val="54"/>
          <c:tx>
            <c:v>Brace47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5.9312130399999958</c:v>
              </c:pt>
            </c:numLit>
          </c:xVal>
          <c:yVal>
            <c:numLit>
              <c:formatCode>General</c:formatCode>
              <c:ptCount val="2"/>
              <c:pt idx="0">
                <c:v>0.22174400000000638</c:v>
              </c:pt>
              <c:pt idx="1">
                <c:v>11.70086960000001</c:v>
              </c:pt>
            </c:numLit>
          </c:yVal>
          <c:smooth val="0"/>
        </c:ser>
        <c:ser>
          <c:idx val="55"/>
          <c:order val="55"/>
          <c:tx>
            <c:v>Brace48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-5</c:v>
              </c:pt>
              <c:pt idx="1">
                <c:v>4.8980917359999978</c:v>
              </c:pt>
            </c:numLit>
          </c:xVal>
          <c:yVal>
            <c:numLit>
              <c:formatCode>General</c:formatCode>
              <c:ptCount val="2"/>
              <c:pt idx="0">
                <c:v>11.70086960000001</c:v>
              </c:pt>
              <c:pt idx="1">
                <c:v>22.032082640000013</c:v>
              </c:pt>
            </c:numLit>
          </c:yVal>
          <c:smooth val="0"/>
        </c:ser>
        <c:ser>
          <c:idx val="56"/>
          <c:order val="56"/>
          <c:tx>
            <c:v>Brace49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-42.2</c:v>
              </c:pt>
              <c:pt idx="1">
                <c:v>-20</c:v>
              </c:pt>
            </c:numLit>
          </c:xVal>
          <c:yVal>
            <c:numLit>
              <c:formatCode>General</c:formatCode>
              <c:ptCount val="2"/>
              <c:pt idx="0">
                <c:v>-100.98699999999999</c:v>
              </c:pt>
              <c:pt idx="1">
                <c:v>-124.98699999999999</c:v>
              </c:pt>
            </c:numLit>
          </c:yVal>
          <c:smooth val="0"/>
        </c:ser>
        <c:ser>
          <c:idx val="57"/>
          <c:order val="57"/>
          <c:tx>
            <c:v>Brace50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-40.04</c:v>
              </c:pt>
              <c:pt idx="1">
                <c:v>-20</c:v>
              </c:pt>
            </c:numLit>
          </c:xVal>
          <c:yVal>
            <c:numLit>
              <c:formatCode>General</c:formatCode>
              <c:ptCount val="2"/>
              <c:pt idx="0">
                <c:v>-79.387</c:v>
              </c:pt>
              <c:pt idx="1">
                <c:v>-100.98699999999999</c:v>
              </c:pt>
            </c:numLit>
          </c:yVal>
          <c:smooth val="0"/>
        </c:ser>
        <c:ser>
          <c:idx val="58"/>
          <c:order val="58"/>
          <c:tx>
            <c:v>Brace51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-38.096000000000004</c:v>
              </c:pt>
              <c:pt idx="1">
                <c:v>-20</c:v>
              </c:pt>
            </c:numLit>
          </c:xVal>
          <c:yVal>
            <c:numLit>
              <c:formatCode>General</c:formatCode>
              <c:ptCount val="2"/>
              <c:pt idx="0">
                <c:v>-59.947000000000003</c:v>
              </c:pt>
              <c:pt idx="1">
                <c:v>-79.387</c:v>
              </c:pt>
            </c:numLit>
          </c:yVal>
          <c:smooth val="0"/>
        </c:ser>
        <c:ser>
          <c:idx val="59"/>
          <c:order val="59"/>
          <c:tx>
            <c:v>Brace52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-36.346400000000003</c:v>
              </c:pt>
              <c:pt idx="1">
                <c:v>-20</c:v>
              </c:pt>
            </c:numLit>
          </c:xVal>
          <c:yVal>
            <c:numLit>
              <c:formatCode>General</c:formatCode>
              <c:ptCount val="2"/>
              <c:pt idx="0">
                <c:v>-42.451000000000001</c:v>
              </c:pt>
              <c:pt idx="1">
                <c:v>-59.947000000000003</c:v>
              </c:pt>
            </c:numLit>
          </c:yVal>
          <c:smooth val="0"/>
        </c:ser>
        <c:ser>
          <c:idx val="60"/>
          <c:order val="60"/>
          <c:tx>
            <c:v>Brace53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-34.77176</c:v>
              </c:pt>
              <c:pt idx="1">
                <c:v>-20</c:v>
              </c:pt>
            </c:numLit>
          </c:xVal>
          <c:yVal>
            <c:numLit>
              <c:formatCode>General</c:formatCode>
              <c:ptCount val="2"/>
              <c:pt idx="0">
                <c:v>-26.704599999999999</c:v>
              </c:pt>
              <c:pt idx="1">
                <c:v>-42.451000000000001</c:v>
              </c:pt>
            </c:numLit>
          </c:yVal>
          <c:smooth val="0"/>
        </c:ser>
        <c:ser>
          <c:idx val="61"/>
          <c:order val="61"/>
          <c:tx>
            <c:v>Brace54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-33.354584000000003</c:v>
              </c:pt>
              <c:pt idx="1">
                <c:v>-20</c:v>
              </c:pt>
            </c:numLit>
          </c:xVal>
          <c:yVal>
            <c:numLit>
              <c:formatCode>General</c:formatCode>
              <c:ptCount val="2"/>
              <c:pt idx="0">
                <c:v>-12.532839999999997</c:v>
              </c:pt>
              <c:pt idx="1">
                <c:v>-26.704599999999999</c:v>
              </c:pt>
            </c:numLit>
          </c:yVal>
          <c:smooth val="0"/>
        </c:ser>
        <c:ser>
          <c:idx val="62"/>
          <c:order val="62"/>
          <c:tx>
            <c:v>Brace55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-32.079125599999998</c:v>
              </c:pt>
              <c:pt idx="1">
                <c:v>-20</c:v>
              </c:pt>
            </c:numLit>
          </c:xVal>
          <c:yVal>
            <c:numLit>
              <c:formatCode>General</c:formatCode>
              <c:ptCount val="2"/>
              <c:pt idx="0">
                <c:v>0.22174400000000638</c:v>
              </c:pt>
              <c:pt idx="1">
                <c:v>-12.532839999999997</c:v>
              </c:pt>
            </c:numLit>
          </c:yVal>
          <c:smooth val="0"/>
        </c:ser>
        <c:ser>
          <c:idx val="63"/>
          <c:order val="63"/>
          <c:tx>
            <c:v>Brace56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-30.931213039999996</c:v>
              </c:pt>
              <c:pt idx="1">
                <c:v>-20</c:v>
              </c:pt>
            </c:numLit>
          </c:xVal>
          <c:yVal>
            <c:numLit>
              <c:formatCode>General</c:formatCode>
              <c:ptCount val="2"/>
              <c:pt idx="0">
                <c:v>11.70086960000001</c:v>
              </c:pt>
              <c:pt idx="1">
                <c:v>0.22174400000000638</c:v>
              </c:pt>
            </c:numLit>
          </c:yVal>
          <c:smooth val="0"/>
        </c:ser>
        <c:ser>
          <c:idx val="64"/>
          <c:order val="64"/>
          <c:tx>
            <c:v>Brace57</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-29.898091735999998</c:v>
              </c:pt>
              <c:pt idx="1">
                <c:v>-20</c:v>
              </c:pt>
            </c:numLit>
          </c:xVal>
          <c:yVal>
            <c:numLit>
              <c:formatCode>General</c:formatCode>
              <c:ptCount val="2"/>
              <c:pt idx="0">
                <c:v>22.032082640000013</c:v>
              </c:pt>
              <c:pt idx="1">
                <c:v>11.70086960000001</c:v>
              </c:pt>
            </c:numLit>
          </c:yVal>
          <c:smooth val="0"/>
        </c:ser>
        <c:ser>
          <c:idx val="65"/>
          <c:order val="65"/>
          <c:tx>
            <c:v>Brace58</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-100.98699999999999</c:v>
              </c:pt>
              <c:pt idx="1">
                <c:v>-124.98699999999999</c:v>
              </c:pt>
            </c:numLit>
          </c:yVal>
          <c:smooth val="0"/>
        </c:ser>
        <c:ser>
          <c:idx val="66"/>
          <c:order val="66"/>
          <c:tx>
            <c:v>Brace59</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-79.387</c:v>
              </c:pt>
              <c:pt idx="1">
                <c:v>-100.98699999999999</c:v>
              </c:pt>
            </c:numLit>
          </c:yVal>
          <c:smooth val="0"/>
        </c:ser>
        <c:ser>
          <c:idx val="67"/>
          <c:order val="67"/>
          <c:tx>
            <c:v>Brace60</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-59.947000000000003</c:v>
              </c:pt>
              <c:pt idx="1">
                <c:v>-79.387</c:v>
              </c:pt>
            </c:numLit>
          </c:yVal>
          <c:smooth val="0"/>
        </c:ser>
        <c:ser>
          <c:idx val="68"/>
          <c:order val="68"/>
          <c:tx>
            <c:v>Brace61</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-42.451000000000001</c:v>
              </c:pt>
              <c:pt idx="1">
                <c:v>-59.947000000000003</c:v>
              </c:pt>
            </c:numLit>
          </c:yVal>
          <c:smooth val="0"/>
        </c:ser>
        <c:ser>
          <c:idx val="69"/>
          <c:order val="69"/>
          <c:tx>
            <c:v>Brace62</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-26.704599999999999</c:v>
              </c:pt>
              <c:pt idx="1">
                <c:v>-42.451000000000001</c:v>
              </c:pt>
            </c:numLit>
          </c:yVal>
          <c:smooth val="0"/>
        </c:ser>
        <c:ser>
          <c:idx val="70"/>
          <c:order val="70"/>
          <c:tx>
            <c:v>Brace63</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-12.532839999999997</c:v>
              </c:pt>
              <c:pt idx="1">
                <c:v>-26.704599999999999</c:v>
              </c:pt>
            </c:numLit>
          </c:yVal>
          <c:smooth val="0"/>
        </c:ser>
        <c:ser>
          <c:idx val="71"/>
          <c:order val="71"/>
          <c:tx>
            <c:v>Brace64</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0.22174400000000638</c:v>
              </c:pt>
              <c:pt idx="1">
                <c:v>-12.532839999999997</c:v>
              </c:pt>
            </c:numLit>
          </c:yVal>
          <c:smooth val="0"/>
        </c:ser>
        <c:ser>
          <c:idx val="72"/>
          <c:order val="72"/>
          <c:tx>
            <c:v>Brace65</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11.70086960000001</c:v>
              </c:pt>
              <c:pt idx="1">
                <c:v>0.22174400000000638</c:v>
              </c:pt>
            </c:numLit>
          </c:yVal>
          <c:smooth val="0"/>
        </c:ser>
        <c:ser>
          <c:idx val="73"/>
          <c:order val="73"/>
          <c:tx>
            <c:v>Brace66</c:v>
          </c:tx>
          <c:spPr>
            <a:ln w="38100">
              <a:solidFill>
                <a:srgbClr val="000000"/>
              </a:solidFill>
              <a:prstDash val="solid"/>
            </a:ln>
          </c:spPr>
          <c:marker>
            <c:symbol val="circle"/>
            <c:size val="6"/>
            <c:spPr>
              <a:solidFill>
                <a:srgbClr val="00E1E1"/>
              </a:solidFill>
              <a:ln>
                <a:solidFill>
                  <a:srgbClr val="000000"/>
                </a:solidFill>
                <a:prstDash val="solid"/>
              </a:ln>
            </c:spPr>
          </c:marker>
          <c:xVal>
            <c:numLit>
              <c:formatCode>General</c:formatCode>
              <c:ptCount val="2"/>
              <c:pt idx="0">
                <c:v>-20</c:v>
              </c:pt>
              <c:pt idx="1">
                <c:v>-5</c:v>
              </c:pt>
            </c:numLit>
          </c:xVal>
          <c:yVal>
            <c:numLit>
              <c:formatCode>General</c:formatCode>
              <c:ptCount val="2"/>
              <c:pt idx="0">
                <c:v>22.032082640000013</c:v>
              </c:pt>
              <c:pt idx="1">
                <c:v>11.70086960000001</c:v>
              </c:pt>
            </c:numLit>
          </c:yVal>
          <c:smooth val="0"/>
        </c:ser>
        <c:dLbls>
          <c:showLegendKey val="0"/>
          <c:showVal val="0"/>
          <c:showCatName val="0"/>
          <c:showSerName val="0"/>
          <c:showPercent val="0"/>
          <c:showBubbleSize val="0"/>
        </c:dLbls>
        <c:axId val="166652160"/>
        <c:axId val="139562368"/>
      </c:scatterChart>
      <c:valAx>
        <c:axId val="166652160"/>
        <c:scaling>
          <c:orientation val="minMax"/>
          <c:max val="80"/>
          <c:min val="-110"/>
        </c:scaling>
        <c:delete val="0"/>
        <c:axPos val="b"/>
        <c:title>
          <c:tx>
            <c:rich>
              <a:bodyPr/>
              <a:lstStyle/>
              <a:p>
                <a:pPr>
                  <a:defRPr/>
                </a:pPr>
                <a:r>
                  <a:rPr lang="nb-NO"/>
                  <a:t>Y Axis</a:t>
                </a:r>
              </a:p>
            </c:rich>
          </c:tx>
          <c:layout/>
          <c:overlay val="0"/>
        </c:title>
        <c:numFmt formatCode="General" sourceLinked="1"/>
        <c:majorTickMark val="out"/>
        <c:minorTickMark val="none"/>
        <c:tickLblPos val="nextTo"/>
        <c:crossAx val="139562368"/>
        <c:crosses val="autoZero"/>
        <c:crossBetween val="midCat"/>
      </c:valAx>
      <c:valAx>
        <c:axId val="139562368"/>
        <c:scaling>
          <c:orientation val="minMax"/>
          <c:max val="40"/>
          <c:min val="-150"/>
        </c:scaling>
        <c:delete val="0"/>
        <c:axPos val="l"/>
        <c:title>
          <c:tx>
            <c:rich>
              <a:bodyPr/>
              <a:lstStyle/>
              <a:p>
                <a:pPr>
                  <a:defRPr/>
                </a:pPr>
                <a:r>
                  <a:rPr lang="nb-NO"/>
                  <a:t>Z Axis</a:t>
                </a:r>
              </a:p>
            </c:rich>
          </c:tx>
          <c:layout/>
          <c:overlay val="0"/>
        </c:title>
        <c:numFmt formatCode="General" sourceLinked="1"/>
        <c:majorTickMark val="out"/>
        <c:minorTickMark val="none"/>
        <c:tickLblPos val="nextTo"/>
        <c:crossAx val="166652160"/>
        <c:crosses val="autoZero"/>
        <c:crossBetween val="midCat"/>
      </c:valAx>
      <c:spPr>
        <a:solidFill>
          <a:srgbClr val="CCFFFF"/>
        </a:solidFill>
      </c:spPr>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nb-NO"/>
              <a:t>XY Plot</a:t>
            </a:r>
          </a:p>
        </c:rich>
      </c:tx>
      <c:layout/>
      <c:overlay val="0"/>
    </c:title>
    <c:autoTitleDeleted val="0"/>
    <c:plotArea>
      <c:layout>
        <c:manualLayout>
          <c:xMode val="edge"/>
          <c:yMode val="edge"/>
          <c:x val="9.3348891481913651E-2"/>
          <c:y val="7.9800498753117205E-2"/>
          <c:w val="0.90665110851808639"/>
          <c:h val="0.82385689320007072"/>
        </c:manualLayout>
      </c:layout>
      <c:scatterChart>
        <c:scatterStyle val="lineMarker"/>
        <c:varyColors val="0"/>
        <c:ser>
          <c:idx val="0"/>
          <c:order val="0"/>
          <c:tx>
            <c:v>X_Beam1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A</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34</c:v>
              </c:pt>
            </c:numLit>
          </c:xVal>
          <c:yVal>
            <c:numLit>
              <c:formatCode>General</c:formatCode>
              <c:ptCount val="2"/>
              <c:pt idx="0">
                <c:v>-45</c:v>
              </c:pt>
              <c:pt idx="1">
                <c:v>-45</c:v>
              </c:pt>
            </c:numLit>
          </c:yVal>
          <c:smooth val="0"/>
        </c:ser>
        <c:ser>
          <c:idx val="1"/>
          <c:order val="1"/>
          <c:tx>
            <c:v>X_Beam2</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B</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34</c:v>
              </c:pt>
            </c:numLit>
          </c:xVal>
          <c:yVal>
            <c:numLit>
              <c:formatCode>General</c:formatCode>
              <c:ptCount val="2"/>
              <c:pt idx="0">
                <c:v>-20</c:v>
              </c:pt>
              <c:pt idx="1">
                <c:v>-20</c:v>
              </c:pt>
            </c:numLit>
          </c:yVal>
          <c:smooth val="0"/>
        </c:ser>
        <c:ser>
          <c:idx val="2"/>
          <c:order val="2"/>
          <c:tx>
            <c:v>X_Beam3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C</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34</c:v>
              </c:pt>
            </c:numLit>
          </c:xVal>
          <c:yVal>
            <c:numLit>
              <c:formatCode>General</c:formatCode>
              <c:ptCount val="2"/>
              <c:pt idx="0">
                <c:v>-5</c:v>
              </c:pt>
              <c:pt idx="1">
                <c:v>-5</c:v>
              </c:pt>
            </c:numLit>
          </c:yVal>
          <c:smooth val="0"/>
        </c:ser>
        <c:ser>
          <c:idx val="3"/>
          <c:order val="3"/>
          <c:tx>
            <c:v>X_Beam4</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D</a:t>
                    </a:r>
                  </a:p>
                </c:rich>
              </c:tx>
              <c:dLblPos val="l"/>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34</c:v>
              </c:pt>
            </c:numLit>
          </c:xVal>
          <c:yVal>
            <c:numLit>
              <c:formatCode>General</c:formatCode>
              <c:ptCount val="2"/>
              <c:pt idx="0">
                <c:v>20</c:v>
              </c:pt>
              <c:pt idx="1">
                <c:v>20</c:v>
              </c:pt>
            </c:numLit>
          </c:yVal>
          <c:smooth val="0"/>
        </c:ser>
        <c:ser>
          <c:idx val="4"/>
          <c:order val="4"/>
          <c:tx>
            <c:v>Y_Beam1</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1</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-23</c:v>
              </c:pt>
              <c:pt idx="1">
                <c:v>-23</c:v>
              </c:pt>
            </c:numLit>
          </c:xVal>
          <c:yVal>
            <c:numLit>
              <c:formatCode>General</c:formatCode>
              <c:ptCount val="2"/>
              <c:pt idx="0">
                <c:v>-45</c:v>
              </c:pt>
              <c:pt idx="1">
                <c:v>20</c:v>
              </c:pt>
            </c:numLit>
          </c:yVal>
          <c:smooth val="0"/>
        </c:ser>
        <c:ser>
          <c:idx val="5"/>
          <c:order val="5"/>
          <c:tx>
            <c:v>Y_Beam2</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2</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12</c:v>
              </c:pt>
              <c:pt idx="1">
                <c:v>12</c:v>
              </c:pt>
            </c:numLit>
          </c:xVal>
          <c:yVal>
            <c:numLit>
              <c:formatCode>General</c:formatCode>
              <c:ptCount val="2"/>
              <c:pt idx="0">
                <c:v>-45</c:v>
              </c:pt>
              <c:pt idx="1">
                <c:v>20</c:v>
              </c:pt>
            </c:numLit>
          </c:yVal>
          <c:smooth val="0"/>
        </c:ser>
        <c:ser>
          <c:idx val="6"/>
          <c:order val="6"/>
          <c:tx>
            <c:v>Y_Beam3</c:v>
          </c:tx>
          <c:spPr>
            <a:ln w="38100">
              <a:solidFill>
                <a:srgbClr val="000000"/>
              </a:solidFill>
              <a:prstDash val="solid"/>
            </a:ln>
          </c:spPr>
          <c:marker>
            <c:symbol val="circle"/>
            <c:size val="6"/>
            <c:spPr>
              <a:solidFill>
                <a:srgbClr val="00E1E1"/>
              </a:solidFill>
              <a:ln>
                <a:solidFill>
                  <a:srgbClr val="000000"/>
                </a:solidFill>
                <a:prstDash val="solid"/>
              </a:ln>
            </c:spPr>
          </c:marker>
          <c:dLbls>
            <c:dLbl>
              <c:idx val="0"/>
              <c:layout/>
              <c:tx>
                <c:rich>
                  <a:bodyPr/>
                  <a:lstStyle/>
                  <a:p>
                    <a:r>
                      <a:rPr lang="nb-NO"/>
                      <a:t>3</a:t>
                    </a:r>
                  </a:p>
                </c:rich>
              </c:tx>
              <c:dLblPos val="b"/>
              <c:showLegendKey val="0"/>
              <c:showVal val="1"/>
              <c:showCatName val="0"/>
              <c:showSerName val="0"/>
              <c:showPercent val="0"/>
              <c:showBubbleSize val="0"/>
            </c:dLbl>
            <c:showLegendKey val="0"/>
            <c:showVal val="0"/>
            <c:showCatName val="0"/>
            <c:showSerName val="0"/>
            <c:showPercent val="0"/>
            <c:showBubbleSize val="0"/>
          </c:dLbls>
          <c:xVal>
            <c:numLit>
              <c:formatCode>General</c:formatCode>
              <c:ptCount val="2"/>
              <c:pt idx="0">
                <c:v>34</c:v>
              </c:pt>
              <c:pt idx="1">
                <c:v>34</c:v>
              </c:pt>
            </c:numLit>
          </c:xVal>
          <c:yVal>
            <c:numLit>
              <c:formatCode>General</c:formatCode>
              <c:ptCount val="2"/>
              <c:pt idx="0">
                <c:v>-45</c:v>
              </c:pt>
              <c:pt idx="1">
                <c:v>20</c:v>
              </c:pt>
            </c:numLit>
          </c:yVal>
          <c:smooth val="0"/>
        </c:ser>
        <c:dLbls>
          <c:showLegendKey val="0"/>
          <c:showVal val="0"/>
          <c:showCatName val="0"/>
          <c:showSerName val="0"/>
          <c:showPercent val="0"/>
          <c:showBubbleSize val="0"/>
        </c:dLbls>
        <c:axId val="166725888"/>
        <c:axId val="166660736"/>
      </c:scatterChart>
      <c:valAx>
        <c:axId val="166725888"/>
        <c:scaling>
          <c:orientation val="minMax"/>
          <c:max val="50"/>
          <c:min val="-40"/>
        </c:scaling>
        <c:delete val="0"/>
        <c:axPos val="b"/>
        <c:title>
          <c:tx>
            <c:rich>
              <a:bodyPr/>
              <a:lstStyle/>
              <a:p>
                <a:pPr>
                  <a:defRPr/>
                </a:pPr>
                <a:r>
                  <a:rPr lang="nb-NO"/>
                  <a:t>X Axis</a:t>
                </a:r>
              </a:p>
            </c:rich>
          </c:tx>
          <c:layout/>
          <c:overlay val="0"/>
        </c:title>
        <c:numFmt formatCode="General" sourceLinked="1"/>
        <c:majorTickMark val="out"/>
        <c:minorTickMark val="none"/>
        <c:tickLblPos val="nextTo"/>
        <c:crossAx val="166660736"/>
        <c:crosses val="autoZero"/>
        <c:crossBetween val="midCat"/>
      </c:valAx>
      <c:valAx>
        <c:axId val="166660736"/>
        <c:scaling>
          <c:orientation val="minMax"/>
          <c:max val="30"/>
          <c:min val="-60"/>
        </c:scaling>
        <c:delete val="0"/>
        <c:axPos val="l"/>
        <c:title>
          <c:tx>
            <c:rich>
              <a:bodyPr/>
              <a:lstStyle/>
              <a:p>
                <a:pPr>
                  <a:defRPr/>
                </a:pPr>
                <a:r>
                  <a:rPr lang="nb-NO"/>
                  <a:t>Y Axis</a:t>
                </a:r>
              </a:p>
            </c:rich>
          </c:tx>
          <c:layout/>
          <c:overlay val="0"/>
        </c:title>
        <c:numFmt formatCode="General" sourceLinked="1"/>
        <c:majorTickMark val="out"/>
        <c:minorTickMark val="none"/>
        <c:tickLblPos val="nextTo"/>
        <c:crossAx val="166725888"/>
        <c:crosses val="autoZero"/>
        <c:crossBetween val="midCat"/>
      </c:valAx>
      <c:spPr>
        <a:solidFill>
          <a:srgbClr val="CCFFFF"/>
        </a:solidFill>
      </c:spPr>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nb-NO"/>
              <a:t>XZ Plot</a:t>
            </a:r>
          </a:p>
        </c:rich>
      </c:tx>
      <c:layout>
        <c:manualLayout>
          <c:xMode val="edge"/>
          <c:yMode val="edge"/>
          <c:x val="0.42787337401895664"/>
          <c:y val="3.3419023136246784E-2"/>
        </c:manualLayout>
      </c:layout>
      <c:overlay val="0"/>
      <c:spPr>
        <a:noFill/>
        <a:ln w="25400">
          <a:noFill/>
        </a:ln>
      </c:spPr>
    </c:title>
    <c:autoTitleDeleted val="0"/>
    <c:plotArea>
      <c:layout>
        <c:manualLayout>
          <c:layoutTarget val="inner"/>
          <c:xMode val="edge"/>
          <c:yMode val="edge"/>
          <c:x val="0.11735955331166111"/>
          <c:y val="0.11053984575835475"/>
          <c:w val="0.84352178942756417"/>
          <c:h val="0.76863753213367614"/>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0</c:v>
              </c:pt>
              <c:pt idx="1">
                <c:v>9.8000000000000007</c:v>
              </c:pt>
            </c:numLit>
          </c:xVal>
          <c:yVal>
            <c:numLit>
              <c:formatCode>General</c:formatCode>
              <c:ptCount val="2"/>
              <c:pt idx="0">
                <c:v>-83</c:v>
              </c:pt>
              <c:pt idx="1">
                <c:v>15</c:v>
              </c:pt>
            </c:numLit>
          </c:yVal>
          <c:smooth val="0"/>
        </c:ser>
        <c:ser>
          <c:idx val="1"/>
          <c:order val="1"/>
          <c:tx>
            <c:v>Leg2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15</c:v>
              </c:pt>
            </c:numLit>
          </c:xVal>
          <c:yVal>
            <c:numLit>
              <c:formatCode>General</c:formatCode>
              <c:ptCount val="2"/>
              <c:pt idx="0">
                <c:v>-83</c:v>
              </c:pt>
              <c:pt idx="1">
                <c:v>15</c:v>
              </c:pt>
            </c:numLit>
          </c:yVal>
          <c:smooth val="0"/>
        </c:ser>
        <c:ser>
          <c:idx val="2"/>
          <c:order val="2"/>
          <c:tx>
            <c:v>Leg3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25</c:v>
              </c:pt>
            </c:numLit>
          </c:xVal>
          <c:yVal>
            <c:numLit>
              <c:formatCode>General</c:formatCode>
              <c:ptCount val="2"/>
              <c:pt idx="0">
                <c:v>-83</c:v>
              </c:pt>
              <c:pt idx="1">
                <c:v>15</c:v>
              </c:pt>
            </c:numLit>
          </c:yVal>
          <c:smooth val="0"/>
        </c:ser>
        <c:ser>
          <c:idx val="3"/>
          <c:order val="3"/>
          <c:tx>
            <c:v>Leg4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40</c:v>
              </c:pt>
              <c:pt idx="1">
                <c:v>30.2</c:v>
              </c:pt>
            </c:numLit>
          </c:xVal>
          <c:yVal>
            <c:numLit>
              <c:formatCode>General</c:formatCode>
              <c:ptCount val="2"/>
              <c:pt idx="0">
                <c:v>-83</c:v>
              </c:pt>
              <c:pt idx="1">
                <c:v>15</c:v>
              </c:pt>
            </c:numLit>
          </c:yVal>
          <c:smooth val="0"/>
        </c:ser>
        <c:ser>
          <c:idx val="4"/>
          <c:order val="4"/>
          <c:tx>
            <c:v>Leg5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9.8000000000000007</c:v>
              </c:pt>
              <c:pt idx="1">
                <c:v>9.8000000000000007</c:v>
              </c:pt>
            </c:numLit>
          </c:xVal>
          <c:yVal>
            <c:numLit>
              <c:formatCode>General</c:formatCode>
              <c:ptCount val="2"/>
              <c:pt idx="0">
                <c:v>15</c:v>
              </c:pt>
              <c:pt idx="1">
                <c:v>25</c:v>
              </c:pt>
            </c:numLit>
          </c:yVal>
          <c:smooth val="0"/>
        </c:ser>
        <c:ser>
          <c:idx val="5"/>
          <c:order val="5"/>
          <c:tx>
            <c:v>Leg6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15</c:v>
              </c:pt>
            </c:numLit>
          </c:xVal>
          <c:yVal>
            <c:numLit>
              <c:formatCode>General</c:formatCode>
              <c:ptCount val="2"/>
              <c:pt idx="0">
                <c:v>15</c:v>
              </c:pt>
              <c:pt idx="1">
                <c:v>25</c:v>
              </c:pt>
            </c:numLit>
          </c:yVal>
          <c:smooth val="0"/>
        </c:ser>
        <c:ser>
          <c:idx val="6"/>
          <c:order val="6"/>
          <c:tx>
            <c:v>Leg7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25</c:v>
              </c:pt>
            </c:numLit>
          </c:xVal>
          <c:yVal>
            <c:numLit>
              <c:formatCode>General</c:formatCode>
              <c:ptCount val="2"/>
              <c:pt idx="0">
                <c:v>15</c:v>
              </c:pt>
              <c:pt idx="1">
                <c:v>25</c:v>
              </c:pt>
            </c:numLit>
          </c:yVal>
          <c:smooth val="0"/>
        </c:ser>
        <c:ser>
          <c:idx val="7"/>
          <c:order val="7"/>
          <c:tx>
            <c:v>Leg8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30.2</c:v>
              </c:pt>
              <c:pt idx="1">
                <c:v>30.2</c:v>
              </c:pt>
            </c:numLit>
          </c:xVal>
          <c:yVal>
            <c:numLit>
              <c:formatCode>General</c:formatCode>
              <c:ptCount val="2"/>
              <c:pt idx="0">
                <c:v>15</c:v>
              </c:pt>
              <c:pt idx="1">
                <c:v>25</c:v>
              </c:pt>
            </c:numLit>
          </c:yVal>
          <c:smooth val="0"/>
        </c:ser>
        <c:ser>
          <c:idx val="8"/>
          <c:order val="8"/>
          <c:tx>
            <c:v>Brace1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0.8</c:v>
              </c:pt>
              <c:pt idx="1">
                <c:v>15</c:v>
              </c:pt>
            </c:numLit>
          </c:xVal>
          <c:yVal>
            <c:numLit>
              <c:formatCode>General</c:formatCode>
              <c:ptCount val="2"/>
              <c:pt idx="0">
                <c:v>-75</c:v>
              </c:pt>
              <c:pt idx="1">
                <c:v>-75</c:v>
              </c:pt>
            </c:numLit>
          </c:yVal>
          <c:smooth val="0"/>
        </c:ser>
        <c:ser>
          <c:idx val="9"/>
          <c:order val="9"/>
          <c:tx>
            <c:v>Brace2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2.2999999999999998</c:v>
              </c:pt>
              <c:pt idx="1">
                <c:v>15</c:v>
              </c:pt>
            </c:numLit>
          </c:xVal>
          <c:yVal>
            <c:numLit>
              <c:formatCode>General</c:formatCode>
              <c:ptCount val="2"/>
              <c:pt idx="0">
                <c:v>-60</c:v>
              </c:pt>
              <c:pt idx="1">
                <c:v>-60</c:v>
              </c:pt>
            </c:numLit>
          </c:yVal>
          <c:smooth val="0"/>
        </c:ser>
        <c:ser>
          <c:idx val="10"/>
          <c:order val="10"/>
          <c:tx>
            <c:v>Brace3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3.65</c:v>
              </c:pt>
              <c:pt idx="1">
                <c:v>15</c:v>
              </c:pt>
            </c:numLit>
          </c:xVal>
          <c:yVal>
            <c:numLit>
              <c:formatCode>General</c:formatCode>
              <c:ptCount val="2"/>
              <c:pt idx="0">
                <c:v>-46.5</c:v>
              </c:pt>
              <c:pt idx="1">
                <c:v>-46.5</c:v>
              </c:pt>
            </c:numLit>
          </c:yVal>
          <c:smooth val="0"/>
        </c:ser>
        <c:ser>
          <c:idx val="11"/>
          <c:order val="11"/>
          <c:tx>
            <c:v>Brace4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4.8650000000000002</c:v>
              </c:pt>
              <c:pt idx="1">
                <c:v>15</c:v>
              </c:pt>
            </c:numLit>
          </c:xVal>
          <c:yVal>
            <c:numLit>
              <c:formatCode>General</c:formatCode>
              <c:ptCount val="2"/>
              <c:pt idx="0">
                <c:v>-34.35</c:v>
              </c:pt>
              <c:pt idx="1">
                <c:v>-34.35</c:v>
              </c:pt>
            </c:numLit>
          </c:yVal>
          <c:smooth val="0"/>
        </c:ser>
        <c:ser>
          <c:idx val="12"/>
          <c:order val="12"/>
          <c:tx>
            <c:v>Brace5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5.9584999999999999</c:v>
              </c:pt>
              <c:pt idx="1">
                <c:v>15</c:v>
              </c:pt>
            </c:numLit>
          </c:xVal>
          <c:yVal>
            <c:numLit>
              <c:formatCode>General</c:formatCode>
              <c:ptCount val="2"/>
              <c:pt idx="0">
                <c:v>-23.414999999999999</c:v>
              </c:pt>
              <c:pt idx="1">
                <c:v>-23.414999999999999</c:v>
              </c:pt>
            </c:numLit>
          </c:yVal>
          <c:smooth val="0"/>
        </c:ser>
        <c:ser>
          <c:idx val="13"/>
          <c:order val="13"/>
          <c:tx>
            <c:v>Brace6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6.9426500000000004</c:v>
              </c:pt>
              <c:pt idx="1">
                <c:v>15</c:v>
              </c:pt>
            </c:numLit>
          </c:xVal>
          <c:yVal>
            <c:numLit>
              <c:formatCode>General</c:formatCode>
              <c:ptCount val="2"/>
              <c:pt idx="0">
                <c:v>-13.573499999999999</c:v>
              </c:pt>
              <c:pt idx="1">
                <c:v>-13.573499999999999</c:v>
              </c:pt>
            </c:numLit>
          </c:yVal>
          <c:smooth val="0"/>
        </c:ser>
        <c:ser>
          <c:idx val="14"/>
          <c:order val="14"/>
          <c:tx>
            <c:v>Brace7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7.8283849999999999</c:v>
              </c:pt>
              <c:pt idx="1">
                <c:v>15</c:v>
              </c:pt>
            </c:numLit>
          </c:xVal>
          <c:yVal>
            <c:numLit>
              <c:formatCode>General</c:formatCode>
              <c:ptCount val="2"/>
              <c:pt idx="0">
                <c:v>-4.7161499999999998</c:v>
              </c:pt>
              <c:pt idx="1">
                <c:v>-4.7161499999999998</c:v>
              </c:pt>
            </c:numLit>
          </c:yVal>
          <c:smooth val="0"/>
        </c:ser>
        <c:ser>
          <c:idx val="15"/>
          <c:order val="15"/>
          <c:tx>
            <c:v>Brace8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8.8000000000000007</c:v>
              </c:pt>
              <c:pt idx="1">
                <c:v>15</c:v>
              </c:pt>
            </c:numLit>
          </c:xVal>
          <c:yVal>
            <c:numLit>
              <c:formatCode>General</c:formatCode>
              <c:ptCount val="2"/>
              <c:pt idx="0">
                <c:v>5</c:v>
              </c:pt>
              <c:pt idx="1">
                <c:v>5</c:v>
              </c:pt>
            </c:numLit>
          </c:yVal>
          <c:smooth val="0"/>
        </c:ser>
        <c:ser>
          <c:idx val="16"/>
          <c:order val="16"/>
          <c:tx>
            <c:v>Brace9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9.8000000000000007</c:v>
              </c:pt>
              <c:pt idx="1">
                <c:v>15</c:v>
              </c:pt>
            </c:numLit>
          </c:xVal>
          <c:yVal>
            <c:numLit>
              <c:formatCode>General</c:formatCode>
              <c:ptCount val="2"/>
              <c:pt idx="0">
                <c:v>15</c:v>
              </c:pt>
              <c:pt idx="1">
                <c:v>15</c:v>
              </c:pt>
            </c:numLit>
          </c:yVal>
          <c:smooth val="0"/>
        </c:ser>
        <c:ser>
          <c:idx val="17"/>
          <c:order val="17"/>
          <c:tx>
            <c:v>Brace10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-75</c:v>
              </c:pt>
              <c:pt idx="1">
                <c:v>-75</c:v>
              </c:pt>
            </c:numLit>
          </c:yVal>
          <c:smooth val="0"/>
        </c:ser>
        <c:ser>
          <c:idx val="18"/>
          <c:order val="18"/>
          <c:tx>
            <c:v>Brace11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-60</c:v>
              </c:pt>
              <c:pt idx="1">
                <c:v>-60</c:v>
              </c:pt>
            </c:numLit>
          </c:yVal>
          <c:smooth val="0"/>
        </c:ser>
        <c:ser>
          <c:idx val="19"/>
          <c:order val="19"/>
          <c:tx>
            <c:v>Brace12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-46.5</c:v>
              </c:pt>
              <c:pt idx="1">
                <c:v>-46.5</c:v>
              </c:pt>
            </c:numLit>
          </c:yVal>
          <c:smooth val="0"/>
        </c:ser>
        <c:ser>
          <c:idx val="20"/>
          <c:order val="20"/>
          <c:tx>
            <c:v>Brace13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-34.35</c:v>
              </c:pt>
              <c:pt idx="1">
                <c:v>-34.35</c:v>
              </c:pt>
            </c:numLit>
          </c:yVal>
          <c:smooth val="0"/>
        </c:ser>
        <c:ser>
          <c:idx val="21"/>
          <c:order val="21"/>
          <c:tx>
            <c:v>Brace14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-23.414999999999999</c:v>
              </c:pt>
              <c:pt idx="1">
                <c:v>-23.414999999999999</c:v>
              </c:pt>
            </c:numLit>
          </c:yVal>
          <c:smooth val="0"/>
        </c:ser>
        <c:ser>
          <c:idx val="22"/>
          <c:order val="22"/>
          <c:tx>
            <c:v>Brace15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-13.573499999999999</c:v>
              </c:pt>
              <c:pt idx="1">
                <c:v>-13.573499999999999</c:v>
              </c:pt>
            </c:numLit>
          </c:yVal>
          <c:smooth val="0"/>
        </c:ser>
        <c:ser>
          <c:idx val="23"/>
          <c:order val="23"/>
          <c:tx>
            <c:v>Brace16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-4.7161499999999998</c:v>
              </c:pt>
              <c:pt idx="1">
                <c:v>-4.7161499999999998</c:v>
              </c:pt>
            </c:numLit>
          </c:yVal>
          <c:smooth val="0"/>
        </c:ser>
        <c:ser>
          <c:idx val="24"/>
          <c:order val="24"/>
          <c:tx>
            <c:v>Brace17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5</c:v>
              </c:pt>
              <c:pt idx="1">
                <c:v>5</c:v>
              </c:pt>
            </c:numLit>
          </c:yVal>
          <c:smooth val="0"/>
        </c:ser>
        <c:ser>
          <c:idx val="25"/>
          <c:order val="25"/>
          <c:tx>
            <c:v>Brace18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15</c:v>
              </c:pt>
              <c:pt idx="1">
                <c:v>15</c:v>
              </c:pt>
            </c:numLit>
          </c:yVal>
          <c:smooth val="0"/>
        </c:ser>
        <c:ser>
          <c:idx val="26"/>
          <c:order val="26"/>
          <c:tx>
            <c:v>Brace19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39.200000000000003</c:v>
              </c:pt>
            </c:numLit>
          </c:xVal>
          <c:yVal>
            <c:numLit>
              <c:formatCode>General</c:formatCode>
              <c:ptCount val="2"/>
              <c:pt idx="0">
                <c:v>-75</c:v>
              </c:pt>
              <c:pt idx="1">
                <c:v>-75</c:v>
              </c:pt>
            </c:numLit>
          </c:yVal>
          <c:smooth val="0"/>
        </c:ser>
        <c:ser>
          <c:idx val="27"/>
          <c:order val="27"/>
          <c:tx>
            <c:v>Brace20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37.700000000000003</c:v>
              </c:pt>
            </c:numLit>
          </c:xVal>
          <c:yVal>
            <c:numLit>
              <c:formatCode>General</c:formatCode>
              <c:ptCount val="2"/>
              <c:pt idx="0">
                <c:v>-60</c:v>
              </c:pt>
              <c:pt idx="1">
                <c:v>-60</c:v>
              </c:pt>
            </c:numLit>
          </c:yVal>
          <c:smooth val="0"/>
        </c:ser>
        <c:ser>
          <c:idx val="28"/>
          <c:order val="28"/>
          <c:tx>
            <c:v>Brace21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36.35</c:v>
              </c:pt>
            </c:numLit>
          </c:xVal>
          <c:yVal>
            <c:numLit>
              <c:formatCode>General</c:formatCode>
              <c:ptCount val="2"/>
              <c:pt idx="0">
                <c:v>-46.5</c:v>
              </c:pt>
              <c:pt idx="1">
                <c:v>-46.5</c:v>
              </c:pt>
            </c:numLit>
          </c:yVal>
          <c:smooth val="0"/>
        </c:ser>
        <c:ser>
          <c:idx val="29"/>
          <c:order val="29"/>
          <c:tx>
            <c:v>Brace22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35.134999999999998</c:v>
              </c:pt>
            </c:numLit>
          </c:xVal>
          <c:yVal>
            <c:numLit>
              <c:formatCode>General</c:formatCode>
              <c:ptCount val="2"/>
              <c:pt idx="0">
                <c:v>-34.35</c:v>
              </c:pt>
              <c:pt idx="1">
                <c:v>-34.35</c:v>
              </c:pt>
            </c:numLit>
          </c:yVal>
          <c:smooth val="0"/>
        </c:ser>
        <c:ser>
          <c:idx val="30"/>
          <c:order val="30"/>
          <c:tx>
            <c:v>Brace23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34.041499999999999</c:v>
              </c:pt>
            </c:numLit>
          </c:xVal>
          <c:yVal>
            <c:numLit>
              <c:formatCode>General</c:formatCode>
              <c:ptCount val="2"/>
              <c:pt idx="0">
                <c:v>-23.414999999999999</c:v>
              </c:pt>
              <c:pt idx="1">
                <c:v>-23.414999999999999</c:v>
              </c:pt>
            </c:numLit>
          </c:yVal>
          <c:smooth val="0"/>
        </c:ser>
        <c:ser>
          <c:idx val="31"/>
          <c:order val="31"/>
          <c:tx>
            <c:v>Brace24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33.05735</c:v>
              </c:pt>
            </c:numLit>
          </c:xVal>
          <c:yVal>
            <c:numLit>
              <c:formatCode>General</c:formatCode>
              <c:ptCount val="2"/>
              <c:pt idx="0">
                <c:v>-13.573499999999999</c:v>
              </c:pt>
              <c:pt idx="1">
                <c:v>-13.573499999999999</c:v>
              </c:pt>
            </c:numLit>
          </c:yVal>
          <c:smooth val="0"/>
        </c:ser>
        <c:ser>
          <c:idx val="32"/>
          <c:order val="32"/>
          <c:tx>
            <c:v>Brace25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32.171615000000003</c:v>
              </c:pt>
            </c:numLit>
          </c:xVal>
          <c:yVal>
            <c:numLit>
              <c:formatCode>General</c:formatCode>
              <c:ptCount val="2"/>
              <c:pt idx="0">
                <c:v>-4.7161499999999998</c:v>
              </c:pt>
              <c:pt idx="1">
                <c:v>-4.7161499999999998</c:v>
              </c:pt>
            </c:numLit>
          </c:yVal>
          <c:smooth val="0"/>
        </c:ser>
        <c:ser>
          <c:idx val="33"/>
          <c:order val="33"/>
          <c:tx>
            <c:v>Brace26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31.2</c:v>
              </c:pt>
            </c:numLit>
          </c:xVal>
          <c:yVal>
            <c:numLit>
              <c:formatCode>General</c:formatCode>
              <c:ptCount val="2"/>
              <c:pt idx="0">
                <c:v>5</c:v>
              </c:pt>
              <c:pt idx="1">
                <c:v>5</c:v>
              </c:pt>
            </c:numLit>
          </c:yVal>
          <c:smooth val="0"/>
        </c:ser>
        <c:ser>
          <c:idx val="34"/>
          <c:order val="34"/>
          <c:tx>
            <c:v>Brace27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30.2</c:v>
              </c:pt>
            </c:numLit>
          </c:xVal>
          <c:yVal>
            <c:numLit>
              <c:formatCode>General</c:formatCode>
              <c:ptCount val="2"/>
              <c:pt idx="0">
                <c:v>15</c:v>
              </c:pt>
              <c:pt idx="1">
                <c:v>15</c:v>
              </c:pt>
            </c:numLit>
          </c:yVal>
          <c:smooth val="0"/>
        </c:ser>
        <c:ser>
          <c:idx val="35"/>
          <c:order val="35"/>
          <c:tx>
            <c:v>Brace28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-75</c:v>
              </c:pt>
              <c:pt idx="1">
                <c:v>-60</c:v>
              </c:pt>
            </c:numLit>
          </c:yVal>
          <c:smooth val="0"/>
        </c:ser>
        <c:ser>
          <c:idx val="36"/>
          <c:order val="36"/>
          <c:tx>
            <c:v>Brace29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-60</c:v>
              </c:pt>
              <c:pt idx="1">
                <c:v>-46.5</c:v>
              </c:pt>
            </c:numLit>
          </c:yVal>
          <c:smooth val="0"/>
        </c:ser>
        <c:ser>
          <c:idx val="37"/>
          <c:order val="37"/>
          <c:tx>
            <c:v>Brace30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-46.5</c:v>
              </c:pt>
              <c:pt idx="1">
                <c:v>-34.35</c:v>
              </c:pt>
            </c:numLit>
          </c:yVal>
          <c:smooth val="0"/>
        </c:ser>
        <c:ser>
          <c:idx val="38"/>
          <c:order val="38"/>
          <c:tx>
            <c:v>Brace31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-34.35</c:v>
              </c:pt>
              <c:pt idx="1">
                <c:v>-23.414999999999999</c:v>
              </c:pt>
            </c:numLit>
          </c:yVal>
          <c:smooth val="0"/>
        </c:ser>
        <c:ser>
          <c:idx val="39"/>
          <c:order val="39"/>
          <c:tx>
            <c:v>Brace32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-23.414999999999999</c:v>
              </c:pt>
              <c:pt idx="1">
                <c:v>-13.573499999999999</c:v>
              </c:pt>
            </c:numLit>
          </c:yVal>
          <c:smooth val="0"/>
        </c:ser>
        <c:ser>
          <c:idx val="40"/>
          <c:order val="40"/>
          <c:tx>
            <c:v>Brace33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-13.573499999999999</c:v>
              </c:pt>
              <c:pt idx="1">
                <c:v>-4.7161499999999998</c:v>
              </c:pt>
            </c:numLit>
          </c:yVal>
          <c:smooth val="0"/>
        </c:ser>
        <c:ser>
          <c:idx val="41"/>
          <c:order val="41"/>
          <c:tx>
            <c:v>Brace34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-4.7161499999999998</c:v>
              </c:pt>
              <c:pt idx="1">
                <c:v>5</c:v>
              </c:pt>
            </c:numLit>
          </c:yVal>
          <c:smooth val="0"/>
        </c:ser>
        <c:ser>
          <c:idx val="42"/>
          <c:order val="42"/>
          <c:tx>
            <c:v>Brace35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5</c:v>
              </c:pt>
              <c:pt idx="1">
                <c:v>15</c:v>
              </c:pt>
            </c:numLit>
          </c:yVal>
          <c:smooth val="0"/>
        </c:ser>
        <c:ser>
          <c:idx val="43"/>
          <c:order val="43"/>
          <c:tx>
            <c:v>Brace36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37.700000000000003</c:v>
              </c:pt>
            </c:numLit>
          </c:xVal>
          <c:yVal>
            <c:numLit>
              <c:formatCode>General</c:formatCode>
              <c:ptCount val="2"/>
              <c:pt idx="0">
                <c:v>-75</c:v>
              </c:pt>
              <c:pt idx="1">
                <c:v>-60</c:v>
              </c:pt>
            </c:numLit>
          </c:yVal>
          <c:smooth val="0"/>
        </c:ser>
        <c:ser>
          <c:idx val="44"/>
          <c:order val="44"/>
          <c:tx>
            <c:v>Brace37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36.35</c:v>
              </c:pt>
            </c:numLit>
          </c:xVal>
          <c:yVal>
            <c:numLit>
              <c:formatCode>General</c:formatCode>
              <c:ptCount val="2"/>
              <c:pt idx="0">
                <c:v>-60</c:v>
              </c:pt>
              <c:pt idx="1">
                <c:v>-46.5</c:v>
              </c:pt>
            </c:numLit>
          </c:yVal>
          <c:smooth val="0"/>
        </c:ser>
        <c:ser>
          <c:idx val="45"/>
          <c:order val="45"/>
          <c:tx>
            <c:v>Brace38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35.134999999999998</c:v>
              </c:pt>
            </c:numLit>
          </c:xVal>
          <c:yVal>
            <c:numLit>
              <c:formatCode>General</c:formatCode>
              <c:ptCount val="2"/>
              <c:pt idx="0">
                <c:v>-46.5</c:v>
              </c:pt>
              <c:pt idx="1">
                <c:v>-34.35</c:v>
              </c:pt>
            </c:numLit>
          </c:yVal>
          <c:smooth val="0"/>
        </c:ser>
        <c:ser>
          <c:idx val="46"/>
          <c:order val="46"/>
          <c:tx>
            <c:v>Brace39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34.041499999999999</c:v>
              </c:pt>
            </c:numLit>
          </c:xVal>
          <c:yVal>
            <c:numLit>
              <c:formatCode>General</c:formatCode>
              <c:ptCount val="2"/>
              <c:pt idx="0">
                <c:v>-34.35</c:v>
              </c:pt>
              <c:pt idx="1">
                <c:v>-23.414999999999999</c:v>
              </c:pt>
            </c:numLit>
          </c:yVal>
          <c:smooth val="0"/>
        </c:ser>
        <c:ser>
          <c:idx val="47"/>
          <c:order val="47"/>
          <c:tx>
            <c:v>Brace40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33.05735</c:v>
              </c:pt>
            </c:numLit>
          </c:xVal>
          <c:yVal>
            <c:numLit>
              <c:formatCode>General</c:formatCode>
              <c:ptCount val="2"/>
              <c:pt idx="0">
                <c:v>-23.414999999999999</c:v>
              </c:pt>
              <c:pt idx="1">
                <c:v>-13.573499999999999</c:v>
              </c:pt>
            </c:numLit>
          </c:yVal>
          <c:smooth val="0"/>
        </c:ser>
        <c:ser>
          <c:idx val="48"/>
          <c:order val="48"/>
          <c:tx>
            <c:v>Brace41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32.171615000000003</c:v>
              </c:pt>
            </c:numLit>
          </c:xVal>
          <c:yVal>
            <c:numLit>
              <c:formatCode>General</c:formatCode>
              <c:ptCount val="2"/>
              <c:pt idx="0">
                <c:v>-13.573499999999999</c:v>
              </c:pt>
              <c:pt idx="1">
                <c:v>-4.7161499999999998</c:v>
              </c:pt>
            </c:numLit>
          </c:yVal>
          <c:smooth val="0"/>
        </c:ser>
        <c:ser>
          <c:idx val="49"/>
          <c:order val="49"/>
          <c:tx>
            <c:v>Brace42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31.2</c:v>
              </c:pt>
            </c:numLit>
          </c:xVal>
          <c:yVal>
            <c:numLit>
              <c:formatCode>General</c:formatCode>
              <c:ptCount val="2"/>
              <c:pt idx="0">
                <c:v>-4.7161499999999998</c:v>
              </c:pt>
              <c:pt idx="1">
                <c:v>5</c:v>
              </c:pt>
            </c:numLit>
          </c:yVal>
          <c:smooth val="0"/>
        </c:ser>
        <c:ser>
          <c:idx val="50"/>
          <c:order val="50"/>
          <c:tx>
            <c:v>Brace43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30.2</c:v>
              </c:pt>
            </c:numLit>
          </c:xVal>
          <c:yVal>
            <c:numLit>
              <c:formatCode>General</c:formatCode>
              <c:ptCount val="2"/>
              <c:pt idx="0">
                <c:v>5</c:v>
              </c:pt>
              <c:pt idx="1">
                <c:v>15</c:v>
              </c:pt>
            </c:numLit>
          </c:yVal>
          <c:smooth val="0"/>
        </c:ser>
        <c:ser>
          <c:idx val="51"/>
          <c:order val="51"/>
          <c:tx>
            <c:v>Brace44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2.2999999999999998</c:v>
              </c:pt>
              <c:pt idx="1">
                <c:v>15</c:v>
              </c:pt>
            </c:numLit>
          </c:xVal>
          <c:yVal>
            <c:numLit>
              <c:formatCode>General</c:formatCode>
              <c:ptCount val="2"/>
              <c:pt idx="0">
                <c:v>-60</c:v>
              </c:pt>
              <c:pt idx="1">
                <c:v>-75</c:v>
              </c:pt>
            </c:numLit>
          </c:yVal>
          <c:smooth val="0"/>
        </c:ser>
        <c:ser>
          <c:idx val="52"/>
          <c:order val="52"/>
          <c:tx>
            <c:v>Brace45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3.65</c:v>
              </c:pt>
              <c:pt idx="1">
                <c:v>15</c:v>
              </c:pt>
            </c:numLit>
          </c:xVal>
          <c:yVal>
            <c:numLit>
              <c:formatCode>General</c:formatCode>
              <c:ptCount val="2"/>
              <c:pt idx="0">
                <c:v>-46.5</c:v>
              </c:pt>
              <c:pt idx="1">
                <c:v>-60</c:v>
              </c:pt>
            </c:numLit>
          </c:yVal>
          <c:smooth val="0"/>
        </c:ser>
        <c:ser>
          <c:idx val="53"/>
          <c:order val="53"/>
          <c:tx>
            <c:v>Brace46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4.8650000000000002</c:v>
              </c:pt>
              <c:pt idx="1">
                <c:v>15</c:v>
              </c:pt>
            </c:numLit>
          </c:xVal>
          <c:yVal>
            <c:numLit>
              <c:formatCode>General</c:formatCode>
              <c:ptCount val="2"/>
              <c:pt idx="0">
                <c:v>-34.35</c:v>
              </c:pt>
              <c:pt idx="1">
                <c:v>-46.5</c:v>
              </c:pt>
            </c:numLit>
          </c:yVal>
          <c:smooth val="0"/>
        </c:ser>
        <c:ser>
          <c:idx val="54"/>
          <c:order val="54"/>
          <c:tx>
            <c:v>Brace47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5.9584999999999999</c:v>
              </c:pt>
              <c:pt idx="1">
                <c:v>15</c:v>
              </c:pt>
            </c:numLit>
          </c:xVal>
          <c:yVal>
            <c:numLit>
              <c:formatCode>General</c:formatCode>
              <c:ptCount val="2"/>
              <c:pt idx="0">
                <c:v>-23.414999999999999</c:v>
              </c:pt>
              <c:pt idx="1">
                <c:v>-34.35</c:v>
              </c:pt>
            </c:numLit>
          </c:yVal>
          <c:smooth val="0"/>
        </c:ser>
        <c:ser>
          <c:idx val="55"/>
          <c:order val="55"/>
          <c:tx>
            <c:v>Brace48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6.9426500000000004</c:v>
              </c:pt>
              <c:pt idx="1">
                <c:v>15</c:v>
              </c:pt>
            </c:numLit>
          </c:xVal>
          <c:yVal>
            <c:numLit>
              <c:formatCode>General</c:formatCode>
              <c:ptCount val="2"/>
              <c:pt idx="0">
                <c:v>-13.573499999999999</c:v>
              </c:pt>
              <c:pt idx="1">
                <c:v>-23.414999999999999</c:v>
              </c:pt>
            </c:numLit>
          </c:yVal>
          <c:smooth val="0"/>
        </c:ser>
        <c:ser>
          <c:idx val="56"/>
          <c:order val="56"/>
          <c:tx>
            <c:v>Brace49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7.8283849999999999</c:v>
              </c:pt>
              <c:pt idx="1">
                <c:v>15</c:v>
              </c:pt>
            </c:numLit>
          </c:xVal>
          <c:yVal>
            <c:numLit>
              <c:formatCode>General</c:formatCode>
              <c:ptCount val="2"/>
              <c:pt idx="0">
                <c:v>-4.7161499999999998</c:v>
              </c:pt>
              <c:pt idx="1">
                <c:v>-13.573499999999999</c:v>
              </c:pt>
            </c:numLit>
          </c:yVal>
          <c:smooth val="0"/>
        </c:ser>
        <c:ser>
          <c:idx val="57"/>
          <c:order val="57"/>
          <c:tx>
            <c:v>Brace50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8.8000000000000007</c:v>
              </c:pt>
              <c:pt idx="1">
                <c:v>15</c:v>
              </c:pt>
            </c:numLit>
          </c:xVal>
          <c:yVal>
            <c:numLit>
              <c:formatCode>General</c:formatCode>
              <c:ptCount val="2"/>
              <c:pt idx="0">
                <c:v>5</c:v>
              </c:pt>
              <c:pt idx="1">
                <c:v>-4.7161499999999998</c:v>
              </c:pt>
            </c:numLit>
          </c:yVal>
          <c:smooth val="0"/>
        </c:ser>
        <c:ser>
          <c:idx val="58"/>
          <c:order val="58"/>
          <c:tx>
            <c:v>Brace51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9.8000000000000007</c:v>
              </c:pt>
              <c:pt idx="1">
                <c:v>15</c:v>
              </c:pt>
            </c:numLit>
          </c:xVal>
          <c:yVal>
            <c:numLit>
              <c:formatCode>General</c:formatCode>
              <c:ptCount val="2"/>
              <c:pt idx="0">
                <c:v>15</c:v>
              </c:pt>
              <c:pt idx="1">
                <c:v>5</c:v>
              </c:pt>
            </c:numLit>
          </c:yVal>
          <c:smooth val="0"/>
        </c:ser>
        <c:ser>
          <c:idx val="59"/>
          <c:order val="59"/>
          <c:tx>
            <c:v>Brace52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-60</c:v>
              </c:pt>
              <c:pt idx="1">
                <c:v>-75</c:v>
              </c:pt>
            </c:numLit>
          </c:yVal>
          <c:smooth val="0"/>
        </c:ser>
        <c:ser>
          <c:idx val="60"/>
          <c:order val="60"/>
          <c:tx>
            <c:v>Brace53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-46.5</c:v>
              </c:pt>
              <c:pt idx="1">
                <c:v>-60</c:v>
              </c:pt>
            </c:numLit>
          </c:yVal>
          <c:smooth val="0"/>
        </c:ser>
        <c:ser>
          <c:idx val="61"/>
          <c:order val="61"/>
          <c:tx>
            <c:v>Brace54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-34.35</c:v>
              </c:pt>
              <c:pt idx="1">
                <c:v>-46.5</c:v>
              </c:pt>
            </c:numLit>
          </c:yVal>
          <c:smooth val="0"/>
        </c:ser>
        <c:ser>
          <c:idx val="62"/>
          <c:order val="62"/>
          <c:tx>
            <c:v>Brace55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-23.414999999999999</c:v>
              </c:pt>
              <c:pt idx="1">
                <c:v>-34.35</c:v>
              </c:pt>
            </c:numLit>
          </c:yVal>
          <c:smooth val="0"/>
        </c:ser>
        <c:ser>
          <c:idx val="63"/>
          <c:order val="63"/>
          <c:tx>
            <c:v>Brace56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-13.573499999999999</c:v>
              </c:pt>
              <c:pt idx="1">
                <c:v>-23.414999999999999</c:v>
              </c:pt>
            </c:numLit>
          </c:yVal>
          <c:smooth val="0"/>
        </c:ser>
        <c:ser>
          <c:idx val="64"/>
          <c:order val="64"/>
          <c:tx>
            <c:v>Brace57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-4.7161499999999998</c:v>
              </c:pt>
              <c:pt idx="1">
                <c:v>-13.573499999999999</c:v>
              </c:pt>
            </c:numLit>
          </c:yVal>
          <c:smooth val="0"/>
        </c:ser>
        <c:ser>
          <c:idx val="65"/>
          <c:order val="65"/>
          <c:tx>
            <c:v>Brace58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5</c:v>
              </c:pt>
              <c:pt idx="1">
                <c:v>-4.7161499999999998</c:v>
              </c:pt>
            </c:numLit>
          </c:yVal>
          <c:smooth val="0"/>
        </c:ser>
        <c:ser>
          <c:idx val="66"/>
          <c:order val="66"/>
          <c:tx>
            <c:v>Brace59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25</c:v>
              </c:pt>
            </c:numLit>
          </c:xVal>
          <c:yVal>
            <c:numLit>
              <c:formatCode>General</c:formatCode>
              <c:ptCount val="2"/>
              <c:pt idx="0">
                <c:v>15</c:v>
              </c:pt>
              <c:pt idx="1">
                <c:v>5</c:v>
              </c:pt>
            </c:numLit>
          </c:yVal>
          <c:smooth val="0"/>
        </c:ser>
        <c:dLbls>
          <c:showLegendKey val="0"/>
          <c:showVal val="0"/>
          <c:showCatName val="0"/>
          <c:showSerName val="0"/>
          <c:showPercent val="0"/>
          <c:showBubbleSize val="0"/>
        </c:dLbls>
        <c:axId val="161681408"/>
        <c:axId val="161683712"/>
      </c:scatterChart>
      <c:valAx>
        <c:axId val="161681408"/>
        <c:scaling>
          <c:orientation val="minMax"/>
          <c:max val="80"/>
          <c:min val="-40"/>
        </c:scaling>
        <c:delete val="0"/>
        <c:axPos val="b"/>
        <c:title>
          <c:tx>
            <c:rich>
              <a:bodyPr/>
              <a:lstStyle/>
              <a:p>
                <a:pPr>
                  <a:defRPr sz="925" b="1" i="0" u="none" strike="noStrike" baseline="0">
                    <a:solidFill>
                      <a:srgbClr val="000000"/>
                    </a:solidFill>
                    <a:latin typeface="Arial"/>
                    <a:ea typeface="Arial"/>
                    <a:cs typeface="Arial"/>
                  </a:defRPr>
                </a:pPr>
                <a:r>
                  <a:rPr lang="nb-NO"/>
                  <a:t>X Axis</a:t>
                </a:r>
              </a:p>
            </c:rich>
          </c:tx>
          <c:layout>
            <c:manualLayout>
              <c:xMode val="edge"/>
              <c:yMode val="edge"/>
              <c:x val="0.48899806839548476"/>
              <c:y val="0.9074550128534704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b-NO"/>
          </a:p>
        </c:txPr>
        <c:crossAx val="161683712"/>
        <c:crosses val="autoZero"/>
        <c:crossBetween val="midCat"/>
      </c:valAx>
      <c:valAx>
        <c:axId val="161683712"/>
        <c:scaling>
          <c:orientation val="minMax"/>
          <c:max val="30"/>
          <c:min val="-90"/>
        </c:scaling>
        <c:delete val="0"/>
        <c:axPos val="l"/>
        <c:title>
          <c:tx>
            <c:rich>
              <a:bodyPr/>
              <a:lstStyle/>
              <a:p>
                <a:pPr>
                  <a:defRPr sz="925" b="1" i="0" u="none" strike="noStrike" baseline="0">
                    <a:solidFill>
                      <a:srgbClr val="000000"/>
                    </a:solidFill>
                    <a:latin typeface="Arial"/>
                    <a:ea typeface="Arial"/>
                    <a:cs typeface="Arial"/>
                  </a:defRPr>
                </a:pPr>
                <a:r>
                  <a:rPr lang="nb-NO"/>
                  <a:t>Z Axis</a:t>
                </a:r>
              </a:p>
            </c:rich>
          </c:tx>
          <c:layout>
            <c:manualLayout>
              <c:xMode val="edge"/>
              <c:yMode val="edge"/>
              <c:x val="3.6674816625916873E-2"/>
              <c:y val="0.4447300771208226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b-NO"/>
          </a:p>
        </c:txPr>
        <c:crossAx val="16168140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nb-NO"/>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nb-NO"/>
              <a:t>YZ Plot</a:t>
            </a:r>
          </a:p>
        </c:rich>
      </c:tx>
      <c:layout>
        <c:manualLayout>
          <c:xMode val="edge"/>
          <c:yMode val="edge"/>
          <c:x val="0.42892259791055526"/>
          <c:y val="3.2418952618453865E-2"/>
        </c:manualLayout>
      </c:layout>
      <c:overlay val="0"/>
      <c:spPr>
        <a:noFill/>
        <a:ln w="25400">
          <a:noFill/>
        </a:ln>
      </c:spPr>
    </c:title>
    <c:autoTitleDeleted val="0"/>
    <c:plotArea>
      <c:layout>
        <c:manualLayout>
          <c:layoutTarget val="inner"/>
          <c:xMode val="edge"/>
          <c:yMode val="edge"/>
          <c:x val="0.1176473404166198"/>
          <c:y val="0.10723192019950124"/>
          <c:w val="0.84313927298577518"/>
          <c:h val="0.77306733167082298"/>
        </c:manualLayout>
      </c:layout>
      <c:scatterChart>
        <c:scatterStyle val="lineMarker"/>
        <c:varyColors val="0"/>
        <c:ser>
          <c:idx val="0"/>
          <c:order val="0"/>
          <c:tx>
            <c:v>Leg1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0</c:v>
              </c:pt>
              <c:pt idx="1">
                <c:v>12.25</c:v>
              </c:pt>
            </c:numLit>
          </c:xVal>
          <c:yVal>
            <c:numLit>
              <c:formatCode>General</c:formatCode>
              <c:ptCount val="2"/>
              <c:pt idx="0">
                <c:v>-83</c:v>
              </c:pt>
              <c:pt idx="1">
                <c:v>15</c:v>
              </c:pt>
            </c:numLit>
          </c:yVal>
          <c:smooth val="0"/>
        </c:ser>
        <c:ser>
          <c:idx val="1"/>
          <c:order val="1"/>
          <c:tx>
            <c:v>Leg2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25</c:v>
              </c:pt>
            </c:numLit>
          </c:xVal>
          <c:yVal>
            <c:numLit>
              <c:formatCode>General</c:formatCode>
              <c:ptCount val="2"/>
              <c:pt idx="0">
                <c:v>-83</c:v>
              </c:pt>
              <c:pt idx="1">
                <c:v>15</c:v>
              </c:pt>
            </c:numLit>
          </c:yVal>
          <c:smooth val="0"/>
        </c:ser>
        <c:ser>
          <c:idx val="2"/>
          <c:order val="2"/>
          <c:tx>
            <c:v>Leg3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35</c:v>
              </c:pt>
              <c:pt idx="1">
                <c:v>34.902000000000001</c:v>
              </c:pt>
            </c:numLit>
          </c:xVal>
          <c:yVal>
            <c:numLit>
              <c:formatCode>General</c:formatCode>
              <c:ptCount val="2"/>
              <c:pt idx="0">
                <c:v>-83</c:v>
              </c:pt>
              <c:pt idx="1">
                <c:v>15</c:v>
              </c:pt>
            </c:numLit>
          </c:yVal>
          <c:smooth val="0"/>
        </c:ser>
        <c:ser>
          <c:idx val="3"/>
          <c:order val="3"/>
          <c:tx>
            <c:v>Leg4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12.25</c:v>
              </c:pt>
              <c:pt idx="1">
                <c:v>12.25</c:v>
              </c:pt>
            </c:numLit>
          </c:xVal>
          <c:yVal>
            <c:numLit>
              <c:formatCode>General</c:formatCode>
              <c:ptCount val="2"/>
              <c:pt idx="0">
                <c:v>15</c:v>
              </c:pt>
              <c:pt idx="1">
                <c:v>25</c:v>
              </c:pt>
            </c:numLit>
          </c:yVal>
          <c:smooth val="0"/>
        </c:ser>
        <c:ser>
          <c:idx val="4"/>
          <c:order val="4"/>
          <c:tx>
            <c:v>Leg5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25</c:v>
              </c:pt>
            </c:numLit>
          </c:xVal>
          <c:yVal>
            <c:numLit>
              <c:formatCode>General</c:formatCode>
              <c:ptCount val="2"/>
              <c:pt idx="0">
                <c:v>15</c:v>
              </c:pt>
              <c:pt idx="1">
                <c:v>25</c:v>
              </c:pt>
            </c:numLit>
          </c:yVal>
          <c:smooth val="0"/>
        </c:ser>
        <c:ser>
          <c:idx val="5"/>
          <c:order val="5"/>
          <c:tx>
            <c:v>Leg6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34.902000000000001</c:v>
              </c:pt>
              <c:pt idx="1">
                <c:v>34.902000000000001</c:v>
              </c:pt>
            </c:numLit>
          </c:xVal>
          <c:yVal>
            <c:numLit>
              <c:formatCode>General</c:formatCode>
              <c:ptCount val="2"/>
              <c:pt idx="0">
                <c:v>15</c:v>
              </c:pt>
              <c:pt idx="1">
                <c:v>25</c:v>
              </c:pt>
            </c:numLit>
          </c:yVal>
          <c:smooth val="0"/>
        </c:ser>
        <c:ser>
          <c:idx val="6"/>
          <c:order val="6"/>
          <c:tx>
            <c:v>Brace1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c:v>
              </c:pt>
              <c:pt idx="1">
                <c:v>25</c:v>
              </c:pt>
            </c:numLit>
          </c:xVal>
          <c:yVal>
            <c:numLit>
              <c:formatCode>General</c:formatCode>
              <c:ptCount val="2"/>
              <c:pt idx="0">
                <c:v>-75</c:v>
              </c:pt>
              <c:pt idx="1">
                <c:v>-75</c:v>
              </c:pt>
            </c:numLit>
          </c:yVal>
          <c:smooth val="0"/>
        </c:ser>
        <c:ser>
          <c:idx val="7"/>
          <c:order val="7"/>
          <c:tx>
            <c:v>Brace2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2.875</c:v>
              </c:pt>
              <c:pt idx="1">
                <c:v>25</c:v>
              </c:pt>
            </c:numLit>
          </c:xVal>
          <c:yVal>
            <c:numLit>
              <c:formatCode>General</c:formatCode>
              <c:ptCount val="2"/>
              <c:pt idx="0">
                <c:v>-60</c:v>
              </c:pt>
              <c:pt idx="1">
                <c:v>-60</c:v>
              </c:pt>
            </c:numLit>
          </c:yVal>
          <c:smooth val="0"/>
        </c:ser>
        <c:ser>
          <c:idx val="8"/>
          <c:order val="8"/>
          <c:tx>
            <c:v>Brace3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4.5625</c:v>
              </c:pt>
              <c:pt idx="1">
                <c:v>25</c:v>
              </c:pt>
            </c:numLit>
          </c:xVal>
          <c:yVal>
            <c:numLit>
              <c:formatCode>General</c:formatCode>
              <c:ptCount val="2"/>
              <c:pt idx="0">
                <c:v>-46.5</c:v>
              </c:pt>
              <c:pt idx="1">
                <c:v>-46.5</c:v>
              </c:pt>
            </c:numLit>
          </c:yVal>
          <c:smooth val="0"/>
        </c:ser>
        <c:ser>
          <c:idx val="9"/>
          <c:order val="9"/>
          <c:tx>
            <c:v>Brace4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6.0812499999999998</c:v>
              </c:pt>
              <c:pt idx="1">
                <c:v>25</c:v>
              </c:pt>
            </c:numLit>
          </c:xVal>
          <c:yVal>
            <c:numLit>
              <c:formatCode>General</c:formatCode>
              <c:ptCount val="2"/>
              <c:pt idx="0">
                <c:v>-34.35</c:v>
              </c:pt>
              <c:pt idx="1">
                <c:v>-34.35</c:v>
              </c:pt>
            </c:numLit>
          </c:yVal>
          <c:smooth val="0"/>
        </c:ser>
        <c:ser>
          <c:idx val="10"/>
          <c:order val="10"/>
          <c:tx>
            <c:v>Brace5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7.4481250000000001</c:v>
              </c:pt>
              <c:pt idx="1">
                <c:v>25</c:v>
              </c:pt>
            </c:numLit>
          </c:xVal>
          <c:yVal>
            <c:numLit>
              <c:formatCode>General</c:formatCode>
              <c:ptCount val="2"/>
              <c:pt idx="0">
                <c:v>-23.414999999999999</c:v>
              </c:pt>
              <c:pt idx="1">
                <c:v>-23.414999999999999</c:v>
              </c:pt>
            </c:numLit>
          </c:yVal>
          <c:smooth val="0"/>
        </c:ser>
        <c:ser>
          <c:idx val="11"/>
          <c:order val="11"/>
          <c:tx>
            <c:v>Brace6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8.6783125000000005</c:v>
              </c:pt>
              <c:pt idx="1">
                <c:v>25</c:v>
              </c:pt>
            </c:numLit>
          </c:xVal>
          <c:yVal>
            <c:numLit>
              <c:formatCode>General</c:formatCode>
              <c:ptCount val="2"/>
              <c:pt idx="0">
                <c:v>-13.573499999999999</c:v>
              </c:pt>
              <c:pt idx="1">
                <c:v>-13.573499999999999</c:v>
              </c:pt>
            </c:numLit>
          </c:yVal>
          <c:smooth val="0"/>
        </c:ser>
        <c:ser>
          <c:idx val="12"/>
          <c:order val="12"/>
          <c:tx>
            <c:v>Brace7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9.7854812500000001</c:v>
              </c:pt>
              <c:pt idx="1">
                <c:v>25</c:v>
              </c:pt>
            </c:numLit>
          </c:xVal>
          <c:yVal>
            <c:numLit>
              <c:formatCode>General</c:formatCode>
              <c:ptCount val="2"/>
              <c:pt idx="0">
                <c:v>-4.7161499999999998</c:v>
              </c:pt>
              <c:pt idx="1">
                <c:v>-4.7161499999999998</c:v>
              </c:pt>
            </c:numLit>
          </c:yVal>
          <c:smooth val="0"/>
        </c:ser>
        <c:ser>
          <c:idx val="13"/>
          <c:order val="13"/>
          <c:tx>
            <c:v>Brace8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11</c:v>
              </c:pt>
              <c:pt idx="1">
                <c:v>25</c:v>
              </c:pt>
            </c:numLit>
          </c:xVal>
          <c:yVal>
            <c:numLit>
              <c:formatCode>General</c:formatCode>
              <c:ptCount val="2"/>
              <c:pt idx="0">
                <c:v>5</c:v>
              </c:pt>
              <c:pt idx="1">
                <c:v>5</c:v>
              </c:pt>
            </c:numLit>
          </c:yVal>
          <c:smooth val="0"/>
        </c:ser>
        <c:ser>
          <c:idx val="14"/>
          <c:order val="14"/>
          <c:tx>
            <c:v>Brace9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12.25</c:v>
              </c:pt>
              <c:pt idx="1">
                <c:v>25</c:v>
              </c:pt>
            </c:numLit>
          </c:xVal>
          <c:yVal>
            <c:numLit>
              <c:formatCode>General</c:formatCode>
              <c:ptCount val="2"/>
              <c:pt idx="0">
                <c:v>15</c:v>
              </c:pt>
              <c:pt idx="1">
                <c:v>15</c:v>
              </c:pt>
            </c:numLit>
          </c:yVal>
          <c:smooth val="0"/>
        </c:ser>
        <c:ser>
          <c:idx val="15"/>
          <c:order val="15"/>
          <c:tx>
            <c:v>Brace10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34.991999999999997</c:v>
              </c:pt>
            </c:numLit>
          </c:xVal>
          <c:yVal>
            <c:numLit>
              <c:formatCode>General</c:formatCode>
              <c:ptCount val="2"/>
              <c:pt idx="0">
                <c:v>-75</c:v>
              </c:pt>
              <c:pt idx="1">
                <c:v>-75</c:v>
              </c:pt>
            </c:numLit>
          </c:yVal>
          <c:smooth val="0"/>
        </c:ser>
        <c:ser>
          <c:idx val="16"/>
          <c:order val="16"/>
          <c:tx>
            <c:v>Brace11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34.976999999999997</c:v>
              </c:pt>
            </c:numLit>
          </c:xVal>
          <c:yVal>
            <c:numLit>
              <c:formatCode>General</c:formatCode>
              <c:ptCount val="2"/>
              <c:pt idx="0">
                <c:v>-60</c:v>
              </c:pt>
              <c:pt idx="1">
                <c:v>-60</c:v>
              </c:pt>
            </c:numLit>
          </c:yVal>
          <c:smooth val="0"/>
        </c:ser>
        <c:ser>
          <c:idx val="17"/>
          <c:order val="17"/>
          <c:tx>
            <c:v>Brace12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34.963500000000003</c:v>
              </c:pt>
            </c:numLit>
          </c:xVal>
          <c:yVal>
            <c:numLit>
              <c:formatCode>General</c:formatCode>
              <c:ptCount val="2"/>
              <c:pt idx="0">
                <c:v>-46.5</c:v>
              </c:pt>
              <c:pt idx="1">
                <c:v>-46.5</c:v>
              </c:pt>
            </c:numLit>
          </c:yVal>
          <c:smooth val="0"/>
        </c:ser>
        <c:ser>
          <c:idx val="18"/>
          <c:order val="18"/>
          <c:tx>
            <c:v>Brace13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34.951349999999998</c:v>
              </c:pt>
            </c:numLit>
          </c:xVal>
          <c:yVal>
            <c:numLit>
              <c:formatCode>General</c:formatCode>
              <c:ptCount val="2"/>
              <c:pt idx="0">
                <c:v>-34.35</c:v>
              </c:pt>
              <c:pt idx="1">
                <c:v>-34.35</c:v>
              </c:pt>
            </c:numLit>
          </c:yVal>
          <c:smooth val="0"/>
        </c:ser>
        <c:ser>
          <c:idx val="19"/>
          <c:order val="19"/>
          <c:tx>
            <c:v>Brace14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34.940415000000002</c:v>
              </c:pt>
            </c:numLit>
          </c:xVal>
          <c:yVal>
            <c:numLit>
              <c:formatCode>General</c:formatCode>
              <c:ptCount val="2"/>
              <c:pt idx="0">
                <c:v>-23.414999999999999</c:v>
              </c:pt>
              <c:pt idx="1">
                <c:v>-23.414999999999999</c:v>
              </c:pt>
            </c:numLit>
          </c:yVal>
          <c:smooth val="0"/>
        </c:ser>
        <c:ser>
          <c:idx val="20"/>
          <c:order val="20"/>
          <c:tx>
            <c:v>Brace15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34.930573500000001</c:v>
              </c:pt>
            </c:numLit>
          </c:xVal>
          <c:yVal>
            <c:numLit>
              <c:formatCode>General</c:formatCode>
              <c:ptCount val="2"/>
              <c:pt idx="0">
                <c:v>-13.573499999999999</c:v>
              </c:pt>
              <c:pt idx="1">
                <c:v>-13.573499999999999</c:v>
              </c:pt>
            </c:numLit>
          </c:yVal>
          <c:smooth val="0"/>
        </c:ser>
        <c:ser>
          <c:idx val="21"/>
          <c:order val="21"/>
          <c:tx>
            <c:v>Brace16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34.921716150000002</c:v>
              </c:pt>
            </c:numLit>
          </c:xVal>
          <c:yVal>
            <c:numLit>
              <c:formatCode>General</c:formatCode>
              <c:ptCount val="2"/>
              <c:pt idx="0">
                <c:v>-4.7161499999999998</c:v>
              </c:pt>
              <c:pt idx="1">
                <c:v>-4.7161499999999998</c:v>
              </c:pt>
            </c:numLit>
          </c:yVal>
          <c:smooth val="0"/>
        </c:ser>
        <c:ser>
          <c:idx val="22"/>
          <c:order val="22"/>
          <c:tx>
            <c:v>Brace17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34.911999999999999</c:v>
              </c:pt>
            </c:numLit>
          </c:xVal>
          <c:yVal>
            <c:numLit>
              <c:formatCode>General</c:formatCode>
              <c:ptCount val="2"/>
              <c:pt idx="0">
                <c:v>5</c:v>
              </c:pt>
              <c:pt idx="1">
                <c:v>5</c:v>
              </c:pt>
            </c:numLit>
          </c:yVal>
          <c:smooth val="0"/>
        </c:ser>
        <c:ser>
          <c:idx val="23"/>
          <c:order val="23"/>
          <c:tx>
            <c:v>Brace18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34.902000000000001</c:v>
              </c:pt>
            </c:numLit>
          </c:xVal>
          <c:yVal>
            <c:numLit>
              <c:formatCode>General</c:formatCode>
              <c:ptCount val="2"/>
              <c:pt idx="0">
                <c:v>15</c:v>
              </c:pt>
              <c:pt idx="1">
                <c:v>15</c:v>
              </c:pt>
            </c:numLit>
          </c:yVal>
          <c:smooth val="0"/>
        </c:ser>
        <c:ser>
          <c:idx val="24"/>
          <c:order val="24"/>
          <c:tx>
            <c:v>Brace19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c:v>
              </c:pt>
              <c:pt idx="1">
                <c:v>25</c:v>
              </c:pt>
            </c:numLit>
          </c:xVal>
          <c:yVal>
            <c:numLit>
              <c:formatCode>General</c:formatCode>
              <c:ptCount val="2"/>
              <c:pt idx="0">
                <c:v>-75</c:v>
              </c:pt>
              <c:pt idx="1">
                <c:v>-60</c:v>
              </c:pt>
            </c:numLit>
          </c:yVal>
          <c:smooth val="0"/>
        </c:ser>
        <c:ser>
          <c:idx val="25"/>
          <c:order val="25"/>
          <c:tx>
            <c:v>Brace20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2.875</c:v>
              </c:pt>
              <c:pt idx="1">
                <c:v>25</c:v>
              </c:pt>
            </c:numLit>
          </c:xVal>
          <c:yVal>
            <c:numLit>
              <c:formatCode>General</c:formatCode>
              <c:ptCount val="2"/>
              <c:pt idx="0">
                <c:v>-60</c:v>
              </c:pt>
              <c:pt idx="1">
                <c:v>-46.5</c:v>
              </c:pt>
            </c:numLit>
          </c:yVal>
          <c:smooth val="0"/>
        </c:ser>
        <c:ser>
          <c:idx val="26"/>
          <c:order val="26"/>
          <c:tx>
            <c:v>Brace21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4.5625</c:v>
              </c:pt>
              <c:pt idx="1">
                <c:v>25</c:v>
              </c:pt>
            </c:numLit>
          </c:xVal>
          <c:yVal>
            <c:numLit>
              <c:formatCode>General</c:formatCode>
              <c:ptCount val="2"/>
              <c:pt idx="0">
                <c:v>-46.5</c:v>
              </c:pt>
              <c:pt idx="1">
                <c:v>-34.35</c:v>
              </c:pt>
            </c:numLit>
          </c:yVal>
          <c:smooth val="0"/>
        </c:ser>
        <c:ser>
          <c:idx val="27"/>
          <c:order val="27"/>
          <c:tx>
            <c:v>Brace22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6.0812499999999998</c:v>
              </c:pt>
              <c:pt idx="1">
                <c:v>25</c:v>
              </c:pt>
            </c:numLit>
          </c:xVal>
          <c:yVal>
            <c:numLit>
              <c:formatCode>General</c:formatCode>
              <c:ptCount val="2"/>
              <c:pt idx="0">
                <c:v>-34.35</c:v>
              </c:pt>
              <c:pt idx="1">
                <c:v>-23.414999999999999</c:v>
              </c:pt>
            </c:numLit>
          </c:yVal>
          <c:smooth val="0"/>
        </c:ser>
        <c:ser>
          <c:idx val="28"/>
          <c:order val="28"/>
          <c:tx>
            <c:v>Brace23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7.4481250000000001</c:v>
              </c:pt>
              <c:pt idx="1">
                <c:v>25</c:v>
              </c:pt>
            </c:numLit>
          </c:xVal>
          <c:yVal>
            <c:numLit>
              <c:formatCode>General</c:formatCode>
              <c:ptCount val="2"/>
              <c:pt idx="0">
                <c:v>-23.414999999999999</c:v>
              </c:pt>
              <c:pt idx="1">
                <c:v>-13.573499999999999</c:v>
              </c:pt>
            </c:numLit>
          </c:yVal>
          <c:smooth val="0"/>
        </c:ser>
        <c:ser>
          <c:idx val="29"/>
          <c:order val="29"/>
          <c:tx>
            <c:v>Brace24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8.6783125000000005</c:v>
              </c:pt>
              <c:pt idx="1">
                <c:v>25</c:v>
              </c:pt>
            </c:numLit>
          </c:xVal>
          <c:yVal>
            <c:numLit>
              <c:formatCode>General</c:formatCode>
              <c:ptCount val="2"/>
              <c:pt idx="0">
                <c:v>-13.573499999999999</c:v>
              </c:pt>
              <c:pt idx="1">
                <c:v>-4.7161499999999998</c:v>
              </c:pt>
            </c:numLit>
          </c:yVal>
          <c:smooth val="0"/>
        </c:ser>
        <c:ser>
          <c:idx val="30"/>
          <c:order val="30"/>
          <c:tx>
            <c:v>Brace25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9.7854812500000001</c:v>
              </c:pt>
              <c:pt idx="1">
                <c:v>25</c:v>
              </c:pt>
            </c:numLit>
          </c:xVal>
          <c:yVal>
            <c:numLit>
              <c:formatCode>General</c:formatCode>
              <c:ptCount val="2"/>
              <c:pt idx="0">
                <c:v>-4.7161499999999998</c:v>
              </c:pt>
              <c:pt idx="1">
                <c:v>5</c:v>
              </c:pt>
            </c:numLit>
          </c:yVal>
          <c:smooth val="0"/>
        </c:ser>
        <c:ser>
          <c:idx val="31"/>
          <c:order val="31"/>
          <c:tx>
            <c:v>Brace26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11</c:v>
              </c:pt>
              <c:pt idx="1">
                <c:v>25</c:v>
              </c:pt>
            </c:numLit>
          </c:xVal>
          <c:yVal>
            <c:numLit>
              <c:formatCode>General</c:formatCode>
              <c:ptCount val="2"/>
              <c:pt idx="0">
                <c:v>5</c:v>
              </c:pt>
              <c:pt idx="1">
                <c:v>15</c:v>
              </c:pt>
            </c:numLit>
          </c:yVal>
          <c:smooth val="0"/>
        </c:ser>
        <c:ser>
          <c:idx val="32"/>
          <c:order val="32"/>
          <c:tx>
            <c:v>Brace27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34.976999999999997</c:v>
              </c:pt>
            </c:numLit>
          </c:xVal>
          <c:yVal>
            <c:numLit>
              <c:formatCode>General</c:formatCode>
              <c:ptCount val="2"/>
              <c:pt idx="0">
                <c:v>-75</c:v>
              </c:pt>
              <c:pt idx="1">
                <c:v>-60</c:v>
              </c:pt>
            </c:numLit>
          </c:yVal>
          <c:smooth val="0"/>
        </c:ser>
        <c:ser>
          <c:idx val="33"/>
          <c:order val="33"/>
          <c:tx>
            <c:v>Brace28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34.963500000000003</c:v>
              </c:pt>
            </c:numLit>
          </c:xVal>
          <c:yVal>
            <c:numLit>
              <c:formatCode>General</c:formatCode>
              <c:ptCount val="2"/>
              <c:pt idx="0">
                <c:v>-60</c:v>
              </c:pt>
              <c:pt idx="1">
                <c:v>-46.5</c:v>
              </c:pt>
            </c:numLit>
          </c:yVal>
          <c:smooth val="0"/>
        </c:ser>
        <c:ser>
          <c:idx val="34"/>
          <c:order val="34"/>
          <c:tx>
            <c:v>Brace29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34.951349999999998</c:v>
              </c:pt>
            </c:numLit>
          </c:xVal>
          <c:yVal>
            <c:numLit>
              <c:formatCode>General</c:formatCode>
              <c:ptCount val="2"/>
              <c:pt idx="0">
                <c:v>-46.5</c:v>
              </c:pt>
              <c:pt idx="1">
                <c:v>-34.35</c:v>
              </c:pt>
            </c:numLit>
          </c:yVal>
          <c:smooth val="0"/>
        </c:ser>
        <c:ser>
          <c:idx val="35"/>
          <c:order val="35"/>
          <c:tx>
            <c:v>Brace30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34.940415000000002</c:v>
              </c:pt>
            </c:numLit>
          </c:xVal>
          <c:yVal>
            <c:numLit>
              <c:formatCode>General</c:formatCode>
              <c:ptCount val="2"/>
              <c:pt idx="0">
                <c:v>-34.35</c:v>
              </c:pt>
              <c:pt idx="1">
                <c:v>-23.414999999999999</c:v>
              </c:pt>
            </c:numLit>
          </c:yVal>
          <c:smooth val="0"/>
        </c:ser>
        <c:ser>
          <c:idx val="36"/>
          <c:order val="36"/>
          <c:tx>
            <c:v>Brace31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34.930573500000001</c:v>
              </c:pt>
            </c:numLit>
          </c:xVal>
          <c:yVal>
            <c:numLit>
              <c:formatCode>General</c:formatCode>
              <c:ptCount val="2"/>
              <c:pt idx="0">
                <c:v>-23.414999999999999</c:v>
              </c:pt>
              <c:pt idx="1">
                <c:v>-13.573499999999999</c:v>
              </c:pt>
            </c:numLit>
          </c:yVal>
          <c:smooth val="0"/>
        </c:ser>
        <c:ser>
          <c:idx val="37"/>
          <c:order val="37"/>
          <c:tx>
            <c:v>Brace32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34.921716150000002</c:v>
              </c:pt>
            </c:numLit>
          </c:xVal>
          <c:yVal>
            <c:numLit>
              <c:formatCode>General</c:formatCode>
              <c:ptCount val="2"/>
              <c:pt idx="0">
                <c:v>-13.573499999999999</c:v>
              </c:pt>
              <c:pt idx="1">
                <c:v>-4.7161499999999998</c:v>
              </c:pt>
            </c:numLit>
          </c:yVal>
          <c:smooth val="0"/>
        </c:ser>
        <c:ser>
          <c:idx val="38"/>
          <c:order val="38"/>
          <c:tx>
            <c:v>Brace33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34.911999999999999</c:v>
              </c:pt>
            </c:numLit>
          </c:xVal>
          <c:yVal>
            <c:numLit>
              <c:formatCode>General</c:formatCode>
              <c:ptCount val="2"/>
              <c:pt idx="0">
                <c:v>-4.7161499999999998</c:v>
              </c:pt>
              <c:pt idx="1">
                <c:v>5</c:v>
              </c:pt>
            </c:numLit>
          </c:yVal>
          <c:smooth val="0"/>
        </c:ser>
        <c:ser>
          <c:idx val="39"/>
          <c:order val="39"/>
          <c:tx>
            <c:v>Brace34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34.902000000000001</c:v>
              </c:pt>
            </c:numLit>
          </c:xVal>
          <c:yVal>
            <c:numLit>
              <c:formatCode>General</c:formatCode>
              <c:ptCount val="2"/>
              <c:pt idx="0">
                <c:v>5</c:v>
              </c:pt>
              <c:pt idx="1">
                <c:v>15</c:v>
              </c:pt>
            </c:numLit>
          </c:yVal>
          <c:smooth val="0"/>
        </c:ser>
        <c:ser>
          <c:idx val="40"/>
          <c:order val="40"/>
          <c:tx>
            <c:v>Brace35</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34.991999999999997</c:v>
              </c:pt>
            </c:numLit>
          </c:xVal>
          <c:yVal>
            <c:numLit>
              <c:formatCode>General</c:formatCode>
              <c:ptCount val="2"/>
              <c:pt idx="0">
                <c:v>-60</c:v>
              </c:pt>
              <c:pt idx="1">
                <c:v>-75</c:v>
              </c:pt>
            </c:numLit>
          </c:yVal>
          <c:smooth val="0"/>
        </c:ser>
        <c:ser>
          <c:idx val="41"/>
          <c:order val="41"/>
          <c:tx>
            <c:v>Brace36</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34.976999999999997</c:v>
              </c:pt>
            </c:numLit>
          </c:xVal>
          <c:yVal>
            <c:numLit>
              <c:formatCode>General</c:formatCode>
              <c:ptCount val="2"/>
              <c:pt idx="0">
                <c:v>-46.5</c:v>
              </c:pt>
              <c:pt idx="1">
                <c:v>-60</c:v>
              </c:pt>
            </c:numLit>
          </c:yVal>
          <c:smooth val="0"/>
        </c:ser>
        <c:ser>
          <c:idx val="42"/>
          <c:order val="42"/>
          <c:tx>
            <c:v>Brace37</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34.963500000000003</c:v>
              </c:pt>
            </c:numLit>
          </c:xVal>
          <c:yVal>
            <c:numLit>
              <c:formatCode>General</c:formatCode>
              <c:ptCount val="2"/>
              <c:pt idx="0">
                <c:v>-34.35</c:v>
              </c:pt>
              <c:pt idx="1">
                <c:v>-46.5</c:v>
              </c:pt>
            </c:numLit>
          </c:yVal>
          <c:smooth val="0"/>
        </c:ser>
        <c:ser>
          <c:idx val="43"/>
          <c:order val="43"/>
          <c:tx>
            <c:v>Brace38</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34.951349999999998</c:v>
              </c:pt>
            </c:numLit>
          </c:xVal>
          <c:yVal>
            <c:numLit>
              <c:formatCode>General</c:formatCode>
              <c:ptCount val="2"/>
              <c:pt idx="0">
                <c:v>-23.414999999999999</c:v>
              </c:pt>
              <c:pt idx="1">
                <c:v>-34.35</c:v>
              </c:pt>
            </c:numLit>
          </c:yVal>
          <c:smooth val="0"/>
        </c:ser>
        <c:ser>
          <c:idx val="44"/>
          <c:order val="44"/>
          <c:tx>
            <c:v>Brace39</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34.940415000000002</c:v>
              </c:pt>
            </c:numLit>
          </c:xVal>
          <c:yVal>
            <c:numLit>
              <c:formatCode>General</c:formatCode>
              <c:ptCount val="2"/>
              <c:pt idx="0">
                <c:v>-13.573499999999999</c:v>
              </c:pt>
              <c:pt idx="1">
                <c:v>-23.414999999999999</c:v>
              </c:pt>
            </c:numLit>
          </c:yVal>
          <c:smooth val="0"/>
        </c:ser>
        <c:ser>
          <c:idx val="45"/>
          <c:order val="45"/>
          <c:tx>
            <c:v>Brace40</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34.930573500000001</c:v>
              </c:pt>
            </c:numLit>
          </c:xVal>
          <c:yVal>
            <c:numLit>
              <c:formatCode>General</c:formatCode>
              <c:ptCount val="2"/>
              <c:pt idx="0">
                <c:v>-4.7161499999999998</c:v>
              </c:pt>
              <c:pt idx="1">
                <c:v>-13.573499999999999</c:v>
              </c:pt>
            </c:numLit>
          </c:yVal>
          <c:smooth val="0"/>
        </c:ser>
        <c:ser>
          <c:idx val="46"/>
          <c:order val="46"/>
          <c:tx>
            <c:v>Brace41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34.921716150000002</c:v>
              </c:pt>
            </c:numLit>
          </c:xVal>
          <c:yVal>
            <c:numLit>
              <c:formatCode>General</c:formatCode>
              <c:ptCount val="2"/>
              <c:pt idx="0">
                <c:v>5</c:v>
              </c:pt>
              <c:pt idx="1">
                <c:v>-4.7161499999999998</c:v>
              </c:pt>
            </c:numLit>
          </c:yVal>
          <c:smooth val="0"/>
        </c:ser>
        <c:ser>
          <c:idx val="47"/>
          <c:order val="47"/>
          <c:tx>
            <c:v>Brace42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34.911999999999999</c:v>
              </c:pt>
            </c:numLit>
          </c:xVal>
          <c:yVal>
            <c:numLit>
              <c:formatCode>General</c:formatCode>
              <c:ptCount val="2"/>
              <c:pt idx="0">
                <c:v>15</c:v>
              </c:pt>
              <c:pt idx="1">
                <c:v>5</c:v>
              </c:pt>
            </c:numLit>
          </c:yVal>
          <c:smooth val="0"/>
        </c:ser>
        <c:dLbls>
          <c:showLegendKey val="0"/>
          <c:showVal val="0"/>
          <c:showCatName val="0"/>
          <c:showSerName val="0"/>
          <c:showPercent val="0"/>
          <c:showBubbleSize val="0"/>
        </c:dLbls>
        <c:axId val="162254208"/>
        <c:axId val="162264960"/>
      </c:scatterChart>
      <c:valAx>
        <c:axId val="162254208"/>
        <c:scaling>
          <c:orientation val="minMax"/>
          <c:max val="80"/>
          <c:min val="-40"/>
        </c:scaling>
        <c:delete val="0"/>
        <c:axPos val="b"/>
        <c:title>
          <c:tx>
            <c:rich>
              <a:bodyPr/>
              <a:lstStyle/>
              <a:p>
                <a:pPr>
                  <a:defRPr sz="975" b="1" i="0" u="none" strike="noStrike" baseline="0">
                    <a:solidFill>
                      <a:srgbClr val="000000"/>
                    </a:solidFill>
                    <a:latin typeface="Arial"/>
                    <a:ea typeface="Arial"/>
                    <a:cs typeface="Arial"/>
                  </a:defRPr>
                </a:pPr>
                <a:r>
                  <a:rPr lang="nb-NO"/>
                  <a:t>Y Axis</a:t>
                </a:r>
              </a:p>
            </c:rich>
          </c:tx>
          <c:layout>
            <c:manualLayout>
              <c:xMode val="edge"/>
              <c:yMode val="edge"/>
              <c:x val="0.48774638464309611"/>
              <c:y val="0.90773067331670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b-NO"/>
          </a:p>
        </c:txPr>
        <c:crossAx val="162264960"/>
        <c:crosses val="autoZero"/>
        <c:crossBetween val="midCat"/>
      </c:valAx>
      <c:valAx>
        <c:axId val="162264960"/>
        <c:scaling>
          <c:orientation val="minMax"/>
          <c:max val="30"/>
          <c:min val="-90"/>
        </c:scaling>
        <c:delete val="0"/>
        <c:axPos val="l"/>
        <c:title>
          <c:tx>
            <c:rich>
              <a:bodyPr/>
              <a:lstStyle/>
              <a:p>
                <a:pPr>
                  <a:defRPr sz="975" b="1" i="0" u="none" strike="noStrike" baseline="0">
                    <a:solidFill>
                      <a:srgbClr val="000000"/>
                    </a:solidFill>
                    <a:latin typeface="Arial"/>
                    <a:ea typeface="Arial"/>
                    <a:cs typeface="Arial"/>
                  </a:defRPr>
                </a:pPr>
                <a:r>
                  <a:rPr lang="nb-NO"/>
                  <a:t>Z Axis</a:t>
                </a:r>
              </a:p>
            </c:rich>
          </c:tx>
          <c:layout>
            <c:manualLayout>
              <c:xMode val="edge"/>
              <c:yMode val="edge"/>
              <c:x val="3.4313725490196081E-2"/>
              <c:y val="0.4413965087281795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nb-NO"/>
          </a:p>
        </c:txPr>
        <c:crossAx val="16225420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b-NO"/>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nb-NO"/>
              <a:t>XY Plot</a:t>
            </a:r>
          </a:p>
        </c:rich>
      </c:tx>
      <c:layout>
        <c:manualLayout>
          <c:xMode val="edge"/>
          <c:yMode val="edge"/>
          <c:x val="0.39285789276340455"/>
          <c:y val="3.2418952618453865E-2"/>
        </c:manualLayout>
      </c:layout>
      <c:overlay val="0"/>
      <c:spPr>
        <a:noFill/>
        <a:ln w="25400">
          <a:noFill/>
        </a:ln>
      </c:spPr>
    </c:title>
    <c:autoTitleDeleted val="0"/>
    <c:plotArea>
      <c:layout>
        <c:manualLayout>
          <c:layoutTarget val="inner"/>
          <c:xMode val="edge"/>
          <c:yMode val="edge"/>
          <c:x val="0.16071456597824704"/>
          <c:y val="0.10473815461346633"/>
          <c:w val="0.78571565589365211"/>
          <c:h val="0.59102244389027436"/>
        </c:manualLayout>
      </c:layout>
      <c:scatterChart>
        <c:scatterStyle val="lineMarker"/>
        <c:varyColors val="0"/>
        <c:ser>
          <c:idx val="0"/>
          <c:order val="0"/>
          <c:tx>
            <c:v>X_Beam1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0</c:v>
              </c:pt>
              <c:pt idx="1">
                <c:v>40</c:v>
              </c:pt>
            </c:numLit>
          </c:xVal>
          <c:yVal>
            <c:numLit>
              <c:formatCode>General</c:formatCode>
              <c:ptCount val="2"/>
              <c:pt idx="0">
                <c:v>0</c:v>
              </c:pt>
              <c:pt idx="1">
                <c:v>0</c:v>
              </c:pt>
            </c:numLit>
          </c:yVal>
          <c:smooth val="0"/>
        </c:ser>
        <c:ser>
          <c:idx val="1"/>
          <c:order val="1"/>
          <c:tx>
            <c:v>X_Beam2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0</c:v>
              </c:pt>
              <c:pt idx="1">
                <c:v>40</c:v>
              </c:pt>
            </c:numLit>
          </c:xVal>
          <c:yVal>
            <c:numLit>
              <c:formatCode>General</c:formatCode>
              <c:ptCount val="2"/>
              <c:pt idx="0">
                <c:v>25</c:v>
              </c:pt>
              <c:pt idx="1">
                <c:v>25</c:v>
              </c:pt>
            </c:numLit>
          </c:yVal>
          <c:smooth val="0"/>
        </c:ser>
        <c:ser>
          <c:idx val="2"/>
          <c:order val="2"/>
          <c:tx>
            <c:v>X_Beam3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0</c:v>
              </c:pt>
              <c:pt idx="1">
                <c:v>40</c:v>
              </c:pt>
            </c:numLit>
          </c:xVal>
          <c:yVal>
            <c:numLit>
              <c:formatCode>General</c:formatCode>
              <c:ptCount val="2"/>
              <c:pt idx="0">
                <c:v>35</c:v>
              </c:pt>
              <c:pt idx="1">
                <c:v>35</c:v>
              </c:pt>
            </c:numLit>
          </c:yVal>
          <c:smooth val="0"/>
        </c:ser>
        <c:ser>
          <c:idx val="3"/>
          <c:order val="3"/>
          <c:tx>
            <c:v>Y_Beam1</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0</c:v>
              </c:pt>
              <c:pt idx="1">
                <c:v>0</c:v>
              </c:pt>
            </c:numLit>
          </c:xVal>
          <c:yVal>
            <c:numLit>
              <c:formatCode>General</c:formatCode>
              <c:ptCount val="2"/>
              <c:pt idx="0">
                <c:v>0</c:v>
              </c:pt>
              <c:pt idx="1">
                <c:v>35</c:v>
              </c:pt>
            </c:numLit>
          </c:yVal>
          <c:smooth val="0"/>
        </c:ser>
        <c:ser>
          <c:idx val="4"/>
          <c:order val="4"/>
          <c:tx>
            <c:v>Y_Beam2</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15</c:v>
              </c:pt>
              <c:pt idx="1">
                <c:v>15</c:v>
              </c:pt>
            </c:numLit>
          </c:xVal>
          <c:yVal>
            <c:numLit>
              <c:formatCode>General</c:formatCode>
              <c:ptCount val="2"/>
              <c:pt idx="0">
                <c:v>0</c:v>
              </c:pt>
              <c:pt idx="1">
                <c:v>35</c:v>
              </c:pt>
            </c:numLit>
          </c:yVal>
          <c:smooth val="0"/>
        </c:ser>
        <c:ser>
          <c:idx val="5"/>
          <c:order val="5"/>
          <c:tx>
            <c:v>Y_Beam3</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25</c:v>
              </c:pt>
              <c:pt idx="1">
                <c:v>25</c:v>
              </c:pt>
            </c:numLit>
          </c:xVal>
          <c:yVal>
            <c:numLit>
              <c:formatCode>General</c:formatCode>
              <c:ptCount val="2"/>
              <c:pt idx="0">
                <c:v>0</c:v>
              </c:pt>
              <c:pt idx="1">
                <c:v>35</c:v>
              </c:pt>
            </c:numLit>
          </c:yVal>
          <c:smooth val="0"/>
        </c:ser>
        <c:ser>
          <c:idx val="6"/>
          <c:order val="6"/>
          <c:tx>
            <c:v>Y_Beam4</c:v>
          </c:tx>
          <c:spPr>
            <a:ln w="38100">
              <a:solidFill>
                <a:srgbClr val="000000"/>
              </a:solidFill>
              <a:prstDash val="solid"/>
            </a:ln>
          </c:spPr>
          <c:marker>
            <c:symbol val="circle"/>
            <c:size val="6"/>
            <c:spPr>
              <a:solidFill>
                <a:srgbClr val="00CCFF"/>
              </a:solidFill>
              <a:ln>
                <a:solidFill>
                  <a:srgbClr val="000000"/>
                </a:solidFill>
                <a:prstDash val="solid"/>
              </a:ln>
            </c:spPr>
          </c:marker>
          <c:xVal>
            <c:numLit>
              <c:formatCode>General</c:formatCode>
              <c:ptCount val="2"/>
              <c:pt idx="0">
                <c:v>40</c:v>
              </c:pt>
              <c:pt idx="1">
                <c:v>40</c:v>
              </c:pt>
            </c:numLit>
          </c:xVal>
          <c:yVal>
            <c:numLit>
              <c:formatCode>General</c:formatCode>
              <c:ptCount val="2"/>
              <c:pt idx="0">
                <c:v>0</c:v>
              </c:pt>
              <c:pt idx="1">
                <c:v>35</c:v>
              </c:pt>
            </c:numLit>
          </c:yVal>
          <c:smooth val="0"/>
        </c:ser>
        <c:dLbls>
          <c:showLegendKey val="0"/>
          <c:showVal val="0"/>
          <c:showCatName val="0"/>
          <c:showSerName val="0"/>
          <c:showPercent val="0"/>
          <c:showBubbleSize val="0"/>
        </c:dLbls>
        <c:axId val="162302208"/>
        <c:axId val="162308864"/>
      </c:scatterChart>
      <c:valAx>
        <c:axId val="162302208"/>
        <c:scaling>
          <c:orientation val="minMax"/>
          <c:max val="50"/>
          <c:min val="-10"/>
        </c:scaling>
        <c:delete val="0"/>
        <c:axPos val="b"/>
        <c:title>
          <c:tx>
            <c:rich>
              <a:bodyPr/>
              <a:lstStyle/>
              <a:p>
                <a:pPr>
                  <a:defRPr sz="800" b="1" i="0" u="none" strike="noStrike" baseline="0">
                    <a:solidFill>
                      <a:srgbClr val="000000"/>
                    </a:solidFill>
                    <a:latin typeface="Arial"/>
                    <a:ea typeface="Arial"/>
                    <a:cs typeface="Arial"/>
                  </a:defRPr>
                </a:pPr>
                <a:r>
                  <a:rPr lang="nb-NO"/>
                  <a:t>X Axis</a:t>
                </a:r>
              </a:p>
            </c:rich>
          </c:tx>
          <c:layout>
            <c:manualLayout>
              <c:xMode val="edge"/>
              <c:yMode val="edge"/>
              <c:x val="0.48571503562054741"/>
              <c:y val="0.7206982543640897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b-NO"/>
          </a:p>
        </c:txPr>
        <c:crossAx val="162308864"/>
        <c:crosses val="autoZero"/>
        <c:crossBetween val="midCat"/>
      </c:valAx>
      <c:valAx>
        <c:axId val="162308864"/>
        <c:scaling>
          <c:orientation val="minMax"/>
          <c:max val="50"/>
          <c:min val="-10"/>
        </c:scaling>
        <c:delete val="0"/>
        <c:axPos val="l"/>
        <c:title>
          <c:tx>
            <c:rich>
              <a:bodyPr/>
              <a:lstStyle/>
              <a:p>
                <a:pPr>
                  <a:defRPr sz="800" b="1" i="0" u="none" strike="noStrike" baseline="0">
                    <a:solidFill>
                      <a:srgbClr val="000000"/>
                    </a:solidFill>
                    <a:latin typeface="Arial"/>
                    <a:ea typeface="Arial"/>
                    <a:cs typeface="Arial"/>
                  </a:defRPr>
                </a:pPr>
                <a:r>
                  <a:rPr lang="nb-NO"/>
                  <a:t>Y Axis</a:t>
                </a:r>
              </a:p>
            </c:rich>
          </c:tx>
          <c:layout>
            <c:manualLayout>
              <c:xMode val="edge"/>
              <c:yMode val="edge"/>
              <c:x val="0.05"/>
              <c:y val="0.3516209476309227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b-NO"/>
          </a:p>
        </c:txPr>
        <c:crossAx val="16230220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nb-NO"/>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238125</xdr:colOff>
          <xdr:row>1</xdr:row>
          <xdr:rowOff>0</xdr:rowOff>
        </xdr:from>
        <xdr:to>
          <xdr:col>15</xdr:col>
          <xdr:colOff>28575</xdr:colOff>
          <xdr:row>2</xdr:row>
          <xdr:rowOff>85725</xdr:rowOff>
        </xdr:to>
        <xdr:sp macro="" textlink="">
          <xdr:nvSpPr>
            <xdr:cNvPr id="1026" name="Write_js"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247650</xdr:colOff>
          <xdr:row>1</xdr:row>
          <xdr:rowOff>0</xdr:rowOff>
        </xdr:from>
        <xdr:to>
          <xdr:col>10</xdr:col>
          <xdr:colOff>285750</xdr:colOff>
          <xdr:row>2</xdr:row>
          <xdr:rowOff>85725</xdr:rowOff>
        </xdr:to>
        <xdr:sp macro="" textlink="">
          <xdr:nvSpPr>
            <xdr:cNvPr id="1049" name="PreviewUpdate"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152400</xdr:colOff>
          <xdr:row>1</xdr:row>
          <xdr:rowOff>0</xdr:rowOff>
        </xdr:from>
        <xdr:to>
          <xdr:col>6</xdr:col>
          <xdr:colOff>561975</xdr:colOff>
          <xdr:row>2</xdr:row>
          <xdr:rowOff>85725</xdr:rowOff>
        </xdr:to>
        <xdr:sp macro="" textlink="">
          <xdr:nvSpPr>
            <xdr:cNvPr id="1584" name="Coord_Batter" hidden="1">
              <a:extLst>
                <a:ext uri="{63B3BB69-23CF-44E3-9099-C40C66FF867C}">
                  <a14:compatExt spid="_x0000_s1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409575</xdr:colOff>
          <xdr:row>0</xdr:row>
          <xdr:rowOff>28575</xdr:rowOff>
        </xdr:from>
        <xdr:to>
          <xdr:col>60</xdr:col>
          <xdr:colOff>180975</xdr:colOff>
          <xdr:row>2</xdr:row>
          <xdr:rowOff>0</xdr:rowOff>
        </xdr:to>
        <xdr:sp macro="" textlink="">
          <xdr:nvSpPr>
            <xdr:cNvPr id="7481" name="ProtectionButton" hidden="1">
              <a:extLst>
                <a:ext uri="{63B3BB69-23CF-44E3-9099-C40C66FF867C}">
                  <a14:compatExt spid="_x0000_s7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304800</xdr:colOff>
          <xdr:row>1</xdr:row>
          <xdr:rowOff>0</xdr:rowOff>
        </xdr:from>
        <xdr:to>
          <xdr:col>56</xdr:col>
          <xdr:colOff>19050</xdr:colOff>
          <xdr:row>2</xdr:row>
          <xdr:rowOff>85725</xdr:rowOff>
        </xdr:to>
        <xdr:sp macro="" textlink="">
          <xdr:nvSpPr>
            <xdr:cNvPr id="7696" name="Run_Genie" hidden="1">
              <a:extLst>
                <a:ext uri="{63B3BB69-23CF-44E3-9099-C40C66FF867C}">
                  <a14:compatExt spid="_x0000_s7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409575</xdr:colOff>
          <xdr:row>2</xdr:row>
          <xdr:rowOff>19050</xdr:rowOff>
        </xdr:from>
        <xdr:to>
          <xdr:col>60</xdr:col>
          <xdr:colOff>190500</xdr:colOff>
          <xdr:row>4</xdr:row>
          <xdr:rowOff>0</xdr:rowOff>
        </xdr:to>
        <xdr:sp macro="" textlink="">
          <xdr:nvSpPr>
            <xdr:cNvPr id="9685" name="ToolbarsButton" hidden="1">
              <a:extLst>
                <a:ext uri="{63B3BB69-23CF-44E3-9099-C40C66FF867C}">
                  <a14:compatExt spid="_x0000_s9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295275</xdr:colOff>
          <xdr:row>0</xdr:row>
          <xdr:rowOff>66675</xdr:rowOff>
        </xdr:from>
        <xdr:to>
          <xdr:col>58</xdr:col>
          <xdr:colOff>85725</xdr:colOff>
          <xdr:row>2</xdr:row>
          <xdr:rowOff>76200</xdr:rowOff>
        </xdr:to>
        <xdr:sp macro="" textlink="">
          <xdr:nvSpPr>
            <xdr:cNvPr id="9686" name="HelpButton" hidden="1">
              <a:extLst>
                <a:ext uri="{63B3BB69-23CF-44E3-9099-C40C66FF867C}">
                  <a14:compatExt spid="_x0000_s9686"/>
                </a:ext>
              </a:extLst>
            </xdr:cNvPr>
            <xdr:cNvSpPr/>
          </xdr:nvSpPr>
          <xdr:spPr>
            <a:xfrm>
              <a:off x="0" y="0"/>
              <a:ext cx="0" cy="0"/>
            </a:xfrm>
            <a:prstGeom prst="rect">
              <a:avLst/>
            </a:prstGeom>
          </xdr:spPr>
        </xdr:sp>
        <xdr:clientData/>
      </xdr:twoCellAnchor>
    </mc:Choice>
    <mc:Fallback/>
  </mc:AlternateContent>
  <xdr:twoCellAnchor>
    <xdr:from>
      <xdr:col>7</xdr:col>
      <xdr:colOff>0</xdr:colOff>
      <xdr:row>9</xdr:row>
      <xdr:rowOff>0</xdr:rowOff>
    </xdr:from>
    <xdr:to>
      <xdr:col>19</xdr:col>
      <xdr:colOff>0</xdr:colOff>
      <xdr:row>58</xdr:row>
      <xdr:rowOff>0</xdr:rowOff>
    </xdr:to>
    <xdr:graphicFrame macro="">
      <xdr:nvGraphicFramePr>
        <xdr:cNvPr id="5" name="XZ_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68</xdr:row>
      <xdr:rowOff>0</xdr:rowOff>
    </xdr:from>
    <xdr:to>
      <xdr:col>19</xdr:col>
      <xdr:colOff>0</xdr:colOff>
      <xdr:row>117</xdr:row>
      <xdr:rowOff>0</xdr:rowOff>
    </xdr:to>
    <xdr:graphicFrame macro="">
      <xdr:nvGraphicFramePr>
        <xdr:cNvPr id="6" name="YZ_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68</xdr:row>
      <xdr:rowOff>0</xdr:rowOff>
    </xdr:from>
    <xdr:to>
      <xdr:col>3</xdr:col>
      <xdr:colOff>434975</xdr:colOff>
      <xdr:row>117</xdr:row>
      <xdr:rowOff>0</xdr:rowOff>
    </xdr:to>
    <xdr:graphicFrame macro="">
      <xdr:nvGraphicFramePr>
        <xdr:cNvPr id="7" name="XY_Pl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600075</xdr:colOff>
      <xdr:row>8</xdr:row>
      <xdr:rowOff>152400</xdr:rowOff>
    </xdr:from>
    <xdr:to>
      <xdr:col>32</xdr:col>
      <xdr:colOff>457200</xdr:colOff>
      <xdr:row>56</xdr:row>
      <xdr:rowOff>28575</xdr:rowOff>
    </xdr:to>
    <xdr:graphicFrame macro="">
      <xdr:nvGraphicFramePr>
        <xdr:cNvPr id="10281"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68</xdr:row>
      <xdr:rowOff>0</xdr:rowOff>
    </xdr:from>
    <xdr:to>
      <xdr:col>57</xdr:col>
      <xdr:colOff>0</xdr:colOff>
      <xdr:row>117</xdr:row>
      <xdr:rowOff>0</xdr:rowOff>
    </xdr:to>
    <xdr:graphicFrame macro="">
      <xdr:nvGraphicFramePr>
        <xdr:cNvPr id="10282" name="YZ_Pl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68</xdr:row>
      <xdr:rowOff>0</xdr:rowOff>
    </xdr:from>
    <xdr:to>
      <xdr:col>3</xdr:col>
      <xdr:colOff>428625</xdr:colOff>
      <xdr:row>117</xdr:row>
      <xdr:rowOff>0</xdr:rowOff>
    </xdr:to>
    <xdr:graphicFrame macro="">
      <xdr:nvGraphicFramePr>
        <xdr:cNvPr id="10283" name="XY_Plo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38100</xdr:colOff>
      <xdr:row>0</xdr:row>
      <xdr:rowOff>114300</xdr:rowOff>
    </xdr:from>
    <xdr:to>
      <xdr:col>57</xdr:col>
      <xdr:colOff>28575</xdr:colOff>
      <xdr:row>2</xdr:row>
      <xdr:rowOff>161925</xdr:rowOff>
    </xdr:to>
    <xdr:pic>
      <xdr:nvPicPr>
        <xdr:cNvPr id="10284"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38600" y="114300"/>
          <a:ext cx="5095875" cy="4381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514350</xdr:colOff>
      <xdr:row>5</xdr:row>
      <xdr:rowOff>114300</xdr:rowOff>
    </xdr:from>
    <xdr:to>
      <xdr:col>11</xdr:col>
      <xdr:colOff>0</xdr:colOff>
      <xdr:row>28</xdr:row>
      <xdr:rowOff>0</xdr:rowOff>
    </xdr:to>
    <xdr:sp macro="" textlink="">
      <xdr:nvSpPr>
        <xdr:cNvPr id="10248" name="step1"/>
        <xdr:cNvSpPr>
          <a:spLocks noChangeArrowheads="1"/>
        </xdr:cNvSpPr>
      </xdr:nvSpPr>
      <xdr:spPr bwMode="auto">
        <a:xfrm>
          <a:off x="2619375" y="1057275"/>
          <a:ext cx="3895725" cy="2066925"/>
        </a:xfrm>
        <a:prstGeom prst="wedgeRectCallout">
          <a:avLst>
            <a:gd name="adj1" fmla="val -37287"/>
            <a:gd name="adj2" fmla="val -69815"/>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1</a:t>
          </a:r>
        </a:p>
        <a:p>
          <a:pPr algn="l" rtl="0">
            <a:defRPr sz="1000"/>
          </a:pPr>
          <a:r>
            <a:rPr lang="nb-NO" sz="1600" b="0" i="0" u="none" strike="noStrike" baseline="0">
              <a:solidFill>
                <a:srgbClr val="000000"/>
              </a:solidFill>
              <a:latin typeface="Arial"/>
              <a:cs typeface="Arial"/>
            </a:rPr>
            <a:t>Enter the project title</a:t>
          </a:r>
        </a:p>
        <a:p>
          <a:pPr algn="l" rtl="0">
            <a:defRPr sz="1000"/>
          </a:pPr>
          <a:r>
            <a:rPr lang="nb-NO" sz="1600" b="0" i="0" u="none" strike="noStrike" baseline="0">
              <a:solidFill>
                <a:srgbClr val="000000"/>
              </a:solidFill>
              <a:latin typeface="Arial"/>
              <a:cs typeface="Arial"/>
            </a:rPr>
            <a:t>The title is used for naming the Genie database and the Genie input file</a:t>
          </a:r>
        </a:p>
        <a:p>
          <a:pPr algn="l" rtl="0">
            <a:defRPr sz="1000"/>
          </a:pPr>
          <a:r>
            <a:rPr lang="nb-NO" sz="1600" b="0" i="0" u="none" strike="noStrike" baseline="0">
              <a:solidFill>
                <a:srgbClr val="000000"/>
              </a:solidFill>
              <a:latin typeface="Arial"/>
              <a:cs typeface="Arial"/>
            </a:rPr>
            <a:t>The title must be legal as a file name without blanks</a:t>
          </a:r>
          <a:endParaRPr lang="nb-NO"/>
        </a:p>
      </xdr:txBody>
    </xdr:sp>
    <xdr:clientData/>
  </xdr:twoCellAnchor>
  <xdr:twoCellAnchor>
    <xdr:from>
      <xdr:col>1</xdr:col>
      <xdr:colOff>180975</xdr:colOff>
      <xdr:row>28</xdr:row>
      <xdr:rowOff>57150</xdr:rowOff>
    </xdr:from>
    <xdr:to>
      <xdr:col>6</xdr:col>
      <xdr:colOff>257175</xdr:colOff>
      <xdr:row>54</xdr:row>
      <xdr:rowOff>66675</xdr:rowOff>
    </xdr:to>
    <xdr:sp macro="" textlink="">
      <xdr:nvSpPr>
        <xdr:cNvPr id="10249" name="step2" hidden="1"/>
        <xdr:cNvSpPr>
          <a:spLocks noChangeArrowheads="1"/>
        </xdr:cNvSpPr>
      </xdr:nvSpPr>
      <xdr:spPr bwMode="auto">
        <a:xfrm>
          <a:off x="790575" y="3181350"/>
          <a:ext cx="4076700" cy="1990725"/>
        </a:xfrm>
        <a:prstGeom prst="wedgeRectCallout">
          <a:avLst>
            <a:gd name="adj1" fmla="val -27569"/>
            <a:gd name="adj2" fmla="val 117944"/>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2</a:t>
          </a:r>
        </a:p>
        <a:p>
          <a:pPr algn="l" rtl="0">
            <a:defRPr sz="1000"/>
          </a:pPr>
          <a:r>
            <a:rPr lang="nb-NO" sz="1600" b="0" i="0" u="none" strike="noStrike" baseline="0">
              <a:solidFill>
                <a:srgbClr val="000000"/>
              </a:solidFill>
              <a:latin typeface="Arial"/>
              <a:cs typeface="Arial"/>
            </a:rPr>
            <a:t>Open the "General" sheet and fill in:</a:t>
          </a:r>
        </a:p>
        <a:p>
          <a:pPr algn="l" rtl="0">
            <a:defRPr sz="1000"/>
          </a:pPr>
          <a:r>
            <a:rPr lang="nb-NO" sz="1600" b="0" i="0" u="none" strike="noStrike" baseline="0">
              <a:solidFill>
                <a:srgbClr val="000000"/>
              </a:solidFill>
              <a:latin typeface="Arial"/>
              <a:cs typeface="Arial"/>
            </a:rPr>
            <a:t> - The location of the Genie Program</a:t>
          </a:r>
        </a:p>
        <a:p>
          <a:pPr algn="l" rtl="0">
            <a:defRPr sz="1000"/>
          </a:pPr>
          <a:r>
            <a:rPr lang="nb-NO" sz="1600" b="0" i="0" u="none" strike="noStrike" baseline="0">
              <a:solidFill>
                <a:srgbClr val="000000"/>
              </a:solidFill>
              <a:latin typeface="Arial"/>
              <a:cs typeface="Arial"/>
            </a:rPr>
            <a:t> - Valid beam cross sections</a:t>
          </a:r>
        </a:p>
        <a:p>
          <a:pPr algn="l" rtl="0">
            <a:defRPr sz="1000"/>
          </a:pPr>
          <a:r>
            <a:rPr lang="nb-NO" sz="1600" b="0" i="0" u="none" strike="noStrike" baseline="0">
              <a:solidFill>
                <a:srgbClr val="000000"/>
              </a:solidFill>
              <a:latin typeface="Arial"/>
              <a:cs typeface="Arial"/>
            </a:rPr>
            <a:t> - Valid materials</a:t>
          </a:r>
        </a:p>
        <a:p>
          <a:pPr algn="l" rtl="0">
            <a:defRPr sz="1000"/>
          </a:pPr>
          <a:r>
            <a:rPr lang="nb-NO" sz="1600" b="0" i="0" u="none" strike="noStrike" baseline="0">
              <a:solidFill>
                <a:srgbClr val="000000"/>
              </a:solidFill>
              <a:latin typeface="Arial"/>
              <a:cs typeface="Arial"/>
            </a:rPr>
            <a:t> - Beam naming conventions</a:t>
          </a:r>
          <a:endParaRPr lang="nb-NO"/>
        </a:p>
      </xdr:txBody>
    </xdr:sp>
    <xdr:clientData/>
  </xdr:twoCellAnchor>
  <xdr:twoCellAnchor>
    <xdr:from>
      <xdr:col>4</xdr:col>
      <xdr:colOff>104775</xdr:colOff>
      <xdr:row>22</xdr:row>
      <xdr:rowOff>19050</xdr:rowOff>
    </xdr:from>
    <xdr:to>
      <xdr:col>11</xdr:col>
      <xdr:colOff>95250</xdr:colOff>
      <xdr:row>39</xdr:row>
      <xdr:rowOff>28575</xdr:rowOff>
    </xdr:to>
    <xdr:sp macro="" textlink="">
      <xdr:nvSpPr>
        <xdr:cNvPr id="10250" name="step3" hidden="1"/>
        <xdr:cNvSpPr>
          <a:spLocks noChangeArrowheads="1"/>
        </xdr:cNvSpPr>
      </xdr:nvSpPr>
      <xdr:spPr bwMode="auto">
        <a:xfrm>
          <a:off x="3381375" y="2686050"/>
          <a:ext cx="3228975" cy="1304925"/>
        </a:xfrm>
        <a:prstGeom prst="wedgeRectCallout">
          <a:avLst>
            <a:gd name="adj1" fmla="val -64454"/>
            <a:gd name="adj2" fmla="val -46352"/>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3</a:t>
          </a:r>
        </a:p>
        <a:p>
          <a:pPr algn="l" rtl="0">
            <a:defRPr sz="1000"/>
          </a:pPr>
          <a:r>
            <a:rPr lang="nb-NO" sz="1600" b="0" i="0" u="none" strike="noStrike" baseline="0">
              <a:solidFill>
                <a:srgbClr val="000000"/>
              </a:solidFill>
              <a:latin typeface="Arial"/>
              <a:cs typeface="Arial"/>
            </a:rPr>
            <a:t>Select cross sections, material and database units</a:t>
          </a:r>
          <a:endParaRPr lang="nb-NO"/>
        </a:p>
      </xdr:txBody>
    </xdr:sp>
    <xdr:clientData/>
  </xdr:twoCellAnchor>
  <mc:AlternateContent xmlns:mc="http://schemas.openxmlformats.org/markup-compatibility/2006">
    <mc:Choice xmlns:a14="http://schemas.microsoft.com/office/drawing/2010/main" Requires="a14">
      <xdr:twoCellAnchor editAs="oneCell">
        <xdr:from>
          <xdr:col>15</xdr:col>
          <xdr:colOff>161925</xdr:colOff>
          <xdr:row>2</xdr:row>
          <xdr:rowOff>142875</xdr:rowOff>
        </xdr:from>
        <xdr:to>
          <xdr:col>18</xdr:col>
          <xdr:colOff>190500</xdr:colOff>
          <xdr:row>4</xdr:row>
          <xdr:rowOff>47625</xdr:rowOff>
        </xdr:to>
        <xdr:sp macro="" textlink="">
          <xdr:nvSpPr>
            <xdr:cNvPr id="10251" name="HelpButton"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xdr:twoCellAnchor>
    <xdr:from>
      <xdr:col>0</xdr:col>
      <xdr:colOff>600075</xdr:colOff>
      <xdr:row>12</xdr:row>
      <xdr:rowOff>9525</xdr:rowOff>
    </xdr:from>
    <xdr:to>
      <xdr:col>6</xdr:col>
      <xdr:colOff>523875</xdr:colOff>
      <xdr:row>38</xdr:row>
      <xdr:rowOff>47625</xdr:rowOff>
    </xdr:to>
    <xdr:sp macro="" textlink="">
      <xdr:nvSpPr>
        <xdr:cNvPr id="10262" name="step4" hidden="1"/>
        <xdr:cNvSpPr>
          <a:spLocks noChangeArrowheads="1"/>
        </xdr:cNvSpPr>
      </xdr:nvSpPr>
      <xdr:spPr bwMode="auto">
        <a:xfrm>
          <a:off x="600075" y="1914525"/>
          <a:ext cx="4533900" cy="2019300"/>
        </a:xfrm>
        <a:prstGeom prst="wedgeRectCallout">
          <a:avLst>
            <a:gd name="adj1" fmla="val 26051"/>
            <a:gd name="adj2" fmla="val 33019"/>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4 </a:t>
          </a:r>
        </a:p>
        <a:p>
          <a:pPr algn="l" rtl="0">
            <a:defRPr sz="1000"/>
          </a:pPr>
          <a:r>
            <a:rPr lang="nb-NO" sz="1600" b="0" i="0" u="none" strike="noStrike" baseline="0">
              <a:solidFill>
                <a:srgbClr val="000000"/>
              </a:solidFill>
              <a:latin typeface="Arial"/>
              <a:cs typeface="Arial"/>
            </a:rPr>
            <a:t>The geometry of the jacket is defined by two side views denoted the XZ- and YZ-plane These views define the position of the legs, the horizontal elevations and the bracings</a:t>
          </a:r>
          <a:endParaRPr lang="nb-NO"/>
        </a:p>
      </xdr:txBody>
    </xdr:sp>
    <xdr:clientData/>
  </xdr:twoCellAnchor>
  <xdr:twoCellAnchor>
    <xdr:from>
      <xdr:col>6</xdr:col>
      <xdr:colOff>38100</xdr:colOff>
      <xdr:row>24</xdr:row>
      <xdr:rowOff>57150</xdr:rowOff>
    </xdr:from>
    <xdr:to>
      <xdr:col>16</xdr:col>
      <xdr:colOff>9525</xdr:colOff>
      <xdr:row>46</xdr:row>
      <xdr:rowOff>28575</xdr:rowOff>
    </xdr:to>
    <xdr:sp macro="" textlink="">
      <xdr:nvSpPr>
        <xdr:cNvPr id="10263" name="step5" hidden="1"/>
        <xdr:cNvSpPr>
          <a:spLocks noChangeArrowheads="1"/>
        </xdr:cNvSpPr>
      </xdr:nvSpPr>
      <xdr:spPr bwMode="auto">
        <a:xfrm>
          <a:off x="4648200" y="2876550"/>
          <a:ext cx="3495675" cy="1647825"/>
        </a:xfrm>
        <a:prstGeom prst="wedgeRectCallout">
          <a:avLst>
            <a:gd name="adj1" fmla="val -54088"/>
            <a:gd name="adj2" fmla="val 99713"/>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lnSpc>
              <a:spcPts val="1500"/>
            </a:lnSpc>
            <a:defRPr sz="1000"/>
          </a:pPr>
          <a:r>
            <a:rPr lang="nb-NO" sz="1600" b="0" i="0" u="none" strike="noStrike" baseline="0">
              <a:solidFill>
                <a:srgbClr val="000000"/>
              </a:solidFill>
              <a:latin typeface="Arial"/>
              <a:cs typeface="Arial"/>
            </a:rPr>
            <a:t>Step 5 </a:t>
          </a:r>
        </a:p>
        <a:p>
          <a:pPr algn="l" rtl="0">
            <a:lnSpc>
              <a:spcPts val="1500"/>
            </a:lnSpc>
            <a:defRPr sz="1000"/>
          </a:pPr>
          <a:r>
            <a:rPr lang="nb-NO" sz="1600" b="0" i="0" u="none" strike="noStrike" baseline="0">
              <a:solidFill>
                <a:srgbClr val="000000"/>
              </a:solidFill>
              <a:latin typeface="Arial"/>
              <a:cs typeface="Arial"/>
            </a:rPr>
            <a:t>Enter the elevation at bottom of leg</a:t>
          </a:r>
        </a:p>
        <a:p>
          <a:pPr algn="l" rtl="0">
            <a:defRPr sz="1000"/>
          </a:pPr>
          <a:r>
            <a:rPr lang="nb-NO" sz="1600" b="0" i="0" u="none" strike="noStrike" baseline="0">
              <a:solidFill>
                <a:srgbClr val="000000"/>
              </a:solidFill>
              <a:latin typeface="Arial"/>
              <a:cs typeface="Arial"/>
            </a:rPr>
            <a:t>The elevation may be given directly or by the spacing to the lower frame</a:t>
          </a:r>
          <a:endParaRPr lang="nb-NO"/>
        </a:p>
      </xdr:txBody>
    </xdr:sp>
    <xdr:clientData/>
  </xdr:twoCellAnchor>
  <xdr:twoCellAnchor>
    <xdr:from>
      <xdr:col>6</xdr:col>
      <xdr:colOff>400050</xdr:colOff>
      <xdr:row>15</xdr:row>
      <xdr:rowOff>0</xdr:rowOff>
    </xdr:from>
    <xdr:to>
      <xdr:col>18</xdr:col>
      <xdr:colOff>47625</xdr:colOff>
      <xdr:row>37</xdr:row>
      <xdr:rowOff>9525</xdr:rowOff>
    </xdr:to>
    <xdr:sp macro="" textlink="">
      <xdr:nvSpPr>
        <xdr:cNvPr id="10264" name="step6" hidden="1"/>
        <xdr:cNvSpPr>
          <a:spLocks noChangeArrowheads="1"/>
        </xdr:cNvSpPr>
      </xdr:nvSpPr>
      <xdr:spPr bwMode="auto">
        <a:xfrm>
          <a:off x="5010150" y="2133600"/>
          <a:ext cx="3819525" cy="1685925"/>
        </a:xfrm>
        <a:prstGeom prst="wedgeRectCallout">
          <a:avLst>
            <a:gd name="adj1" fmla="val -51245"/>
            <a:gd name="adj2" fmla="val 102542"/>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90800" rIns="162000" bIns="190800" anchor="t" upright="1"/>
        <a:lstStyle/>
        <a:p>
          <a:pPr algn="l" rtl="0">
            <a:defRPr sz="1000"/>
          </a:pPr>
          <a:r>
            <a:rPr lang="nb-NO" sz="1600" b="0" i="0" u="none" strike="noStrike" baseline="0">
              <a:solidFill>
                <a:srgbClr val="000000"/>
              </a:solidFill>
              <a:latin typeface="Arial"/>
              <a:cs typeface="Arial"/>
            </a:rPr>
            <a:t>Step 6</a:t>
          </a:r>
        </a:p>
        <a:p>
          <a:pPr algn="l" rtl="0">
            <a:defRPr sz="1000"/>
          </a:pPr>
          <a:r>
            <a:rPr lang="nb-NO" sz="1600" b="0" i="0" u="none" strike="noStrike" baseline="0">
              <a:solidFill>
                <a:srgbClr val="000000"/>
              </a:solidFill>
              <a:latin typeface="Arial"/>
              <a:cs typeface="Arial"/>
            </a:rPr>
            <a:t>Fill in the elevations of the horizontal frames and bracings</a:t>
          </a:r>
        </a:p>
        <a:p>
          <a:pPr algn="l" rtl="0">
            <a:defRPr sz="1000"/>
          </a:pPr>
          <a:r>
            <a:rPr lang="nb-NO" sz="1600" b="0" i="0" u="none" strike="noStrike" baseline="0">
              <a:solidFill>
                <a:srgbClr val="000000"/>
              </a:solidFill>
              <a:latin typeface="Arial"/>
              <a:cs typeface="Arial"/>
            </a:rPr>
            <a:t>The elevations may be given directly or as spacings between the frames</a:t>
          </a:r>
          <a:endParaRPr lang="nb-NO"/>
        </a:p>
      </xdr:txBody>
    </xdr:sp>
    <xdr:clientData/>
  </xdr:twoCellAnchor>
  <xdr:twoCellAnchor>
    <xdr:from>
      <xdr:col>4</xdr:col>
      <xdr:colOff>457200</xdr:colOff>
      <xdr:row>12</xdr:row>
      <xdr:rowOff>0</xdr:rowOff>
    </xdr:from>
    <xdr:to>
      <xdr:col>10</xdr:col>
      <xdr:colOff>76200</xdr:colOff>
      <xdr:row>29</xdr:row>
      <xdr:rowOff>9525</xdr:rowOff>
    </xdr:to>
    <xdr:sp macro="" textlink="">
      <xdr:nvSpPr>
        <xdr:cNvPr id="10265" name="step7" hidden="1"/>
        <xdr:cNvSpPr>
          <a:spLocks noChangeArrowheads="1"/>
        </xdr:cNvSpPr>
      </xdr:nvSpPr>
      <xdr:spPr bwMode="auto">
        <a:xfrm>
          <a:off x="3733800" y="1905000"/>
          <a:ext cx="2533650" cy="1304925"/>
        </a:xfrm>
        <a:prstGeom prst="wedgeRectCallout">
          <a:avLst>
            <a:gd name="adj1" fmla="val 78569"/>
            <a:gd name="adj2" fmla="val -28102"/>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7</a:t>
          </a:r>
        </a:p>
        <a:p>
          <a:pPr algn="l" rtl="0">
            <a:defRPr sz="1000"/>
          </a:pPr>
          <a:r>
            <a:rPr lang="nb-NO" sz="1600" b="0" i="0" u="none" strike="noStrike" baseline="0">
              <a:solidFill>
                <a:srgbClr val="000000"/>
              </a:solidFill>
              <a:latin typeface="Arial"/>
              <a:cs typeface="Arial"/>
            </a:rPr>
            <a:t>The beams in the upper section are vertical</a:t>
          </a:r>
          <a:endParaRPr lang="nb-NO"/>
        </a:p>
      </xdr:txBody>
    </xdr:sp>
    <xdr:clientData/>
  </xdr:twoCellAnchor>
  <xdr:twoCellAnchor>
    <xdr:from>
      <xdr:col>2</xdr:col>
      <xdr:colOff>19050</xdr:colOff>
      <xdr:row>20</xdr:row>
      <xdr:rowOff>66675</xdr:rowOff>
    </xdr:from>
    <xdr:to>
      <xdr:col>10</xdr:col>
      <xdr:colOff>238125</xdr:colOff>
      <xdr:row>45</xdr:row>
      <xdr:rowOff>66675</xdr:rowOff>
    </xdr:to>
    <xdr:sp macro="" textlink="">
      <xdr:nvSpPr>
        <xdr:cNvPr id="10266" name="step8" hidden="1"/>
        <xdr:cNvSpPr>
          <a:spLocks noChangeArrowheads="1"/>
        </xdr:cNvSpPr>
      </xdr:nvSpPr>
      <xdr:spPr bwMode="auto">
        <a:xfrm>
          <a:off x="2124075" y="2581275"/>
          <a:ext cx="4305300" cy="1905000"/>
        </a:xfrm>
        <a:prstGeom prst="wedgeRectCallout">
          <a:avLst>
            <a:gd name="adj1" fmla="val 39602"/>
            <a:gd name="adj2" fmla="val 102000"/>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lnSpc>
              <a:spcPts val="1500"/>
            </a:lnSpc>
            <a:defRPr sz="1000"/>
          </a:pPr>
          <a:r>
            <a:rPr lang="nb-NO" sz="1600" b="0" i="0" u="none" strike="noStrike" baseline="0">
              <a:solidFill>
                <a:srgbClr val="000000"/>
              </a:solidFill>
              <a:latin typeface="Arial"/>
              <a:cs typeface="Arial"/>
            </a:rPr>
            <a:t>Step 8</a:t>
          </a:r>
        </a:p>
        <a:p>
          <a:pPr algn="l" rtl="0">
            <a:defRPr sz="1000"/>
          </a:pPr>
          <a:r>
            <a:rPr lang="nb-NO" sz="1600" b="0" i="0" u="none" strike="noStrike" baseline="0">
              <a:solidFill>
                <a:srgbClr val="000000"/>
              </a:solidFill>
              <a:latin typeface="Arial"/>
              <a:cs typeface="Arial"/>
            </a:rPr>
            <a:t>Enter the position of the bottom of the legs The position of the leg may be given by the coordinate or the spacing between legs</a:t>
          </a:r>
          <a:endParaRPr lang="nb-NO"/>
        </a:p>
      </xdr:txBody>
    </xdr:sp>
    <xdr:clientData/>
  </xdr:twoCellAnchor>
  <xdr:twoCellAnchor>
    <xdr:from>
      <xdr:col>1</xdr:col>
      <xdr:colOff>304800</xdr:colOff>
      <xdr:row>5</xdr:row>
      <xdr:rowOff>152400</xdr:rowOff>
    </xdr:from>
    <xdr:to>
      <xdr:col>5</xdr:col>
      <xdr:colOff>409575</xdr:colOff>
      <xdr:row>31</xdr:row>
      <xdr:rowOff>38100</xdr:rowOff>
    </xdr:to>
    <xdr:sp macro="" textlink="">
      <xdr:nvSpPr>
        <xdr:cNvPr id="10267" name="step9" hidden="1"/>
        <xdr:cNvSpPr>
          <a:spLocks noChangeArrowheads="1"/>
        </xdr:cNvSpPr>
      </xdr:nvSpPr>
      <xdr:spPr bwMode="auto">
        <a:xfrm>
          <a:off x="914400" y="1095375"/>
          <a:ext cx="3495675" cy="2295525"/>
        </a:xfrm>
        <a:prstGeom prst="wedgeRectCallout">
          <a:avLst>
            <a:gd name="adj1" fmla="val 48912"/>
            <a:gd name="adj2" fmla="val -79458"/>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9</a:t>
          </a:r>
        </a:p>
        <a:p>
          <a:pPr algn="l" rtl="0">
            <a:defRPr sz="1000"/>
          </a:pPr>
          <a:r>
            <a:rPr lang="nb-NO" sz="1600" b="0" i="0" u="none" strike="noStrike" baseline="0">
              <a:solidFill>
                <a:srgbClr val="000000"/>
              </a:solidFill>
              <a:latin typeface="Arial"/>
              <a:cs typeface="Arial"/>
            </a:rPr>
            <a:t>The position of the top of the legs may be given by coordinates or by the batter of the leg</a:t>
          </a:r>
        </a:p>
        <a:p>
          <a:pPr algn="l" rtl="0">
            <a:defRPr sz="1000"/>
          </a:pPr>
          <a:r>
            <a:rPr lang="nb-NO" sz="1600" b="0" i="0" u="none" strike="noStrike" baseline="0">
              <a:solidFill>
                <a:srgbClr val="000000"/>
              </a:solidFill>
              <a:latin typeface="Arial"/>
              <a:cs typeface="Arial"/>
            </a:rPr>
            <a:t>Batter is defined as X/Z</a:t>
          </a:r>
        </a:p>
        <a:p>
          <a:pPr algn="l" rtl="0">
            <a:defRPr sz="1000"/>
          </a:pPr>
          <a:r>
            <a:rPr lang="nb-NO" sz="1600" b="0" i="0" u="none" strike="noStrike" baseline="0">
              <a:solidFill>
                <a:srgbClr val="000000"/>
              </a:solidFill>
              <a:latin typeface="Arial"/>
              <a:cs typeface="Arial"/>
            </a:rPr>
            <a:t>Use this button to select the appropriate option</a:t>
          </a:r>
          <a:endParaRPr lang="nb-NO"/>
        </a:p>
      </xdr:txBody>
    </xdr:sp>
    <xdr:clientData/>
  </xdr:twoCellAnchor>
  <xdr:twoCellAnchor>
    <xdr:from>
      <xdr:col>3</xdr:col>
      <xdr:colOff>238125</xdr:colOff>
      <xdr:row>14</xdr:row>
      <xdr:rowOff>9525</xdr:rowOff>
    </xdr:from>
    <xdr:to>
      <xdr:col>11</xdr:col>
      <xdr:colOff>76200</xdr:colOff>
      <xdr:row>29</xdr:row>
      <xdr:rowOff>9525</xdr:rowOff>
    </xdr:to>
    <xdr:sp macro="" textlink="">
      <xdr:nvSpPr>
        <xdr:cNvPr id="10268" name="step10" hidden="1"/>
        <xdr:cNvSpPr>
          <a:spLocks noChangeArrowheads="1"/>
        </xdr:cNvSpPr>
      </xdr:nvSpPr>
      <xdr:spPr bwMode="auto">
        <a:xfrm>
          <a:off x="3200400" y="2066925"/>
          <a:ext cx="3390900" cy="1143000"/>
        </a:xfrm>
        <a:prstGeom prst="wedgeRectCallout">
          <a:avLst>
            <a:gd name="adj1" fmla="val 41574"/>
            <a:gd name="adj2" fmla="val -121667"/>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10</a:t>
          </a:r>
        </a:p>
        <a:p>
          <a:pPr algn="l" rtl="0">
            <a:defRPr sz="1000"/>
          </a:pPr>
          <a:r>
            <a:rPr lang="nb-NO" sz="1600" b="0" i="0" u="none" strike="noStrike" baseline="0">
              <a:solidFill>
                <a:srgbClr val="000000"/>
              </a:solidFill>
              <a:latin typeface="Arial"/>
              <a:cs typeface="Arial"/>
            </a:rPr>
            <a:t>Fill in the coordinates at the top or the batter of the legs</a:t>
          </a:r>
          <a:endParaRPr lang="nb-NO"/>
        </a:p>
      </xdr:txBody>
    </xdr:sp>
    <xdr:clientData/>
  </xdr:twoCellAnchor>
  <xdr:twoCellAnchor>
    <xdr:from>
      <xdr:col>10</xdr:col>
      <xdr:colOff>209550</xdr:colOff>
      <xdr:row>13</xdr:row>
      <xdr:rowOff>47625</xdr:rowOff>
    </xdr:from>
    <xdr:to>
      <xdr:col>58</xdr:col>
      <xdr:colOff>342900</xdr:colOff>
      <xdr:row>29</xdr:row>
      <xdr:rowOff>19050</xdr:rowOff>
    </xdr:to>
    <xdr:sp macro="" textlink="">
      <xdr:nvSpPr>
        <xdr:cNvPr id="10269" name="step11" hidden="1"/>
        <xdr:cNvSpPr>
          <a:spLocks noChangeArrowheads="1"/>
        </xdr:cNvSpPr>
      </xdr:nvSpPr>
      <xdr:spPr bwMode="auto">
        <a:xfrm>
          <a:off x="6400800" y="2028825"/>
          <a:ext cx="3657600" cy="1190625"/>
        </a:xfrm>
        <a:prstGeom prst="wedgeRectCallout">
          <a:avLst>
            <a:gd name="adj1" fmla="val -40935"/>
            <a:gd name="adj2" fmla="val -93199"/>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11</a:t>
          </a:r>
        </a:p>
        <a:p>
          <a:pPr algn="l" rtl="0">
            <a:defRPr sz="1000"/>
          </a:pPr>
          <a:r>
            <a:rPr lang="nb-NO" sz="1600" b="0" i="0" u="none" strike="noStrike" baseline="0">
              <a:solidFill>
                <a:srgbClr val="000000"/>
              </a:solidFill>
              <a:latin typeface="Arial"/>
              <a:cs typeface="Arial"/>
            </a:rPr>
            <a:t>Select bracings for each bay</a:t>
          </a:r>
        </a:p>
        <a:p>
          <a:pPr algn="l" rtl="0">
            <a:defRPr sz="1000"/>
          </a:pPr>
          <a:r>
            <a:rPr lang="nb-NO" sz="1600" b="0" i="0" u="none" strike="noStrike" baseline="0">
              <a:solidFill>
                <a:srgbClr val="000000"/>
              </a:solidFill>
              <a:latin typeface="Arial"/>
              <a:cs typeface="Arial"/>
            </a:rPr>
            <a:t>Select "No" for no bracing</a:t>
          </a:r>
          <a:endParaRPr lang="nb-NO"/>
        </a:p>
      </xdr:txBody>
    </xdr:sp>
    <xdr:clientData/>
  </xdr:twoCellAnchor>
  <xdr:twoCellAnchor>
    <xdr:from>
      <xdr:col>9</xdr:col>
      <xdr:colOff>38100</xdr:colOff>
      <xdr:row>47</xdr:row>
      <xdr:rowOff>19050</xdr:rowOff>
    </xdr:from>
    <xdr:to>
      <xdr:col>17</xdr:col>
      <xdr:colOff>257175</xdr:colOff>
      <xdr:row>60</xdr:row>
      <xdr:rowOff>9525</xdr:rowOff>
    </xdr:to>
    <xdr:sp macro="" textlink="">
      <xdr:nvSpPr>
        <xdr:cNvPr id="10270" name="step12" hidden="1"/>
        <xdr:cNvSpPr>
          <a:spLocks noChangeArrowheads="1"/>
        </xdr:cNvSpPr>
      </xdr:nvSpPr>
      <xdr:spPr bwMode="auto">
        <a:xfrm>
          <a:off x="5905500" y="4591050"/>
          <a:ext cx="2809875" cy="1152525"/>
        </a:xfrm>
        <a:prstGeom prst="wedgeRectCallout">
          <a:avLst>
            <a:gd name="adj1" fmla="val -41185"/>
            <a:gd name="adj2" fmla="val 123556"/>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12</a:t>
          </a:r>
        </a:p>
        <a:p>
          <a:pPr algn="l" rtl="0">
            <a:defRPr sz="1000"/>
          </a:pPr>
          <a:r>
            <a:rPr lang="nb-NO" sz="1600" b="0" i="0" u="none" strike="noStrike" baseline="0">
              <a:solidFill>
                <a:srgbClr val="000000"/>
              </a:solidFill>
              <a:latin typeface="Arial"/>
              <a:cs typeface="Arial"/>
            </a:rPr>
            <a:t>Define the YZ plane as described for the XZ plane</a:t>
          </a:r>
          <a:endParaRPr lang="nb-NO"/>
        </a:p>
      </xdr:txBody>
    </xdr:sp>
    <xdr:clientData/>
  </xdr:twoCellAnchor>
  <xdr:twoCellAnchor>
    <xdr:from>
      <xdr:col>2</xdr:col>
      <xdr:colOff>685800</xdr:colOff>
      <xdr:row>5</xdr:row>
      <xdr:rowOff>0</xdr:rowOff>
    </xdr:from>
    <xdr:to>
      <xdr:col>8</xdr:col>
      <xdr:colOff>314325</xdr:colOff>
      <xdr:row>14</xdr:row>
      <xdr:rowOff>19050</xdr:rowOff>
    </xdr:to>
    <xdr:sp macro="" textlink="">
      <xdr:nvSpPr>
        <xdr:cNvPr id="10271" name="step13" hidden="1"/>
        <xdr:cNvSpPr>
          <a:spLocks noChangeArrowheads="1"/>
        </xdr:cNvSpPr>
      </xdr:nvSpPr>
      <xdr:spPr bwMode="auto">
        <a:xfrm>
          <a:off x="2790825" y="942975"/>
          <a:ext cx="3067050" cy="1133475"/>
        </a:xfrm>
        <a:prstGeom prst="wedgeRectCallout">
          <a:avLst>
            <a:gd name="adj1" fmla="val 44722"/>
            <a:gd name="adj2" fmla="val -98741"/>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13</a:t>
          </a:r>
        </a:p>
        <a:p>
          <a:pPr algn="l" rtl="0">
            <a:defRPr sz="1000"/>
          </a:pPr>
          <a:r>
            <a:rPr lang="nb-NO" sz="1600" b="0" i="0" u="none" strike="noStrike" baseline="0">
              <a:solidFill>
                <a:srgbClr val="000000"/>
              </a:solidFill>
              <a:latin typeface="Arial"/>
              <a:cs typeface="Arial"/>
            </a:rPr>
            <a:t>Push Update Preview to see the layout</a:t>
          </a:r>
          <a:endParaRPr lang="nb-NO"/>
        </a:p>
      </xdr:txBody>
    </xdr:sp>
    <xdr:clientData/>
  </xdr:twoCellAnchor>
  <xdr:twoCellAnchor>
    <xdr:from>
      <xdr:col>6</xdr:col>
      <xdr:colOff>361950</xdr:colOff>
      <xdr:row>7</xdr:row>
      <xdr:rowOff>9525</xdr:rowOff>
    </xdr:from>
    <xdr:to>
      <xdr:col>17</xdr:col>
      <xdr:colOff>247650</xdr:colOff>
      <xdr:row>27</xdr:row>
      <xdr:rowOff>19050</xdr:rowOff>
    </xdr:to>
    <xdr:sp macro="" textlink="">
      <xdr:nvSpPr>
        <xdr:cNvPr id="10272" name="step14" hidden="1"/>
        <xdr:cNvSpPr>
          <a:spLocks noChangeArrowheads="1"/>
        </xdr:cNvSpPr>
      </xdr:nvSpPr>
      <xdr:spPr bwMode="auto">
        <a:xfrm>
          <a:off x="4972050" y="1276350"/>
          <a:ext cx="3733800" cy="1790700"/>
        </a:xfrm>
        <a:prstGeom prst="wedgeRectCallout">
          <a:avLst>
            <a:gd name="adj1" fmla="val 33671"/>
            <a:gd name="adj2" fmla="val -101065"/>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180000" tIns="180000" rIns="180000" bIns="180000" anchor="t" upright="1"/>
        <a:lstStyle/>
        <a:p>
          <a:pPr algn="l" rtl="0">
            <a:defRPr sz="1000"/>
          </a:pPr>
          <a:r>
            <a:rPr lang="nb-NO" sz="1600" b="0" i="0" u="none" strike="noStrike" baseline="0">
              <a:solidFill>
                <a:srgbClr val="000000"/>
              </a:solidFill>
              <a:latin typeface="Arial"/>
              <a:cs typeface="Arial"/>
            </a:rPr>
            <a:t>Step 14</a:t>
          </a:r>
        </a:p>
        <a:p>
          <a:pPr algn="l" rtl="0">
            <a:defRPr sz="1000"/>
          </a:pPr>
          <a:r>
            <a:rPr lang="nb-NO" sz="1600" b="0" i="0" u="none" strike="noStrike" baseline="0">
              <a:solidFill>
                <a:srgbClr val="000000"/>
              </a:solidFill>
              <a:latin typeface="Arial"/>
              <a:cs typeface="Arial"/>
            </a:rPr>
            <a:t>Run Genie will write a Genie input file named "Title"_in.js to the current directory of this workbook and then run Genie</a:t>
          </a:r>
          <a:endParaRPr lang="nb-NO"/>
        </a:p>
      </xdr:txBody>
    </xdr:sp>
    <xdr:clientData/>
  </xdr:twoCellAnchor>
  <xdr:twoCellAnchor>
    <xdr:from>
      <xdr:col>0</xdr:col>
      <xdr:colOff>419100</xdr:colOff>
      <xdr:row>8</xdr:row>
      <xdr:rowOff>85725</xdr:rowOff>
    </xdr:from>
    <xdr:to>
      <xdr:col>58</xdr:col>
      <xdr:colOff>581025</xdr:colOff>
      <xdr:row>61</xdr:row>
      <xdr:rowOff>38100</xdr:rowOff>
    </xdr:to>
    <xdr:sp macro="" textlink="">
      <xdr:nvSpPr>
        <xdr:cNvPr id="10279" name="step15" hidden="1"/>
        <xdr:cNvSpPr>
          <a:spLocks noChangeArrowheads="1"/>
        </xdr:cNvSpPr>
      </xdr:nvSpPr>
      <xdr:spPr bwMode="auto">
        <a:xfrm>
          <a:off x="419100" y="1514475"/>
          <a:ext cx="9877425" cy="4419600"/>
        </a:xfrm>
        <a:prstGeom prst="wedgeRectCallout">
          <a:avLst>
            <a:gd name="adj1" fmla="val 40648"/>
            <a:gd name="adj2" fmla="val 15949"/>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t" upright="1"/>
        <a:lstStyle/>
        <a:p>
          <a:pPr algn="l" rtl="0">
            <a:defRPr sz="1000"/>
          </a:pPr>
          <a:r>
            <a:rPr lang="nb-NO" sz="1600" b="1" i="0" u="none" strike="noStrike" baseline="0">
              <a:solidFill>
                <a:srgbClr val="000000"/>
              </a:solidFill>
              <a:latin typeface="Arial"/>
              <a:cs typeface="Arial"/>
            </a:rPr>
            <a:t>About this Wizard</a:t>
          </a:r>
          <a:endParaRPr lang="nb-NO" sz="1600" b="0" i="0" u="none" strike="noStrike" baseline="0">
            <a:solidFill>
              <a:srgbClr val="000000"/>
            </a:solidFill>
            <a:latin typeface="Arial"/>
            <a:cs typeface="Arial"/>
          </a:endParaRPr>
        </a:p>
        <a:p>
          <a:pPr algn="l" rtl="0">
            <a:defRPr sz="1000"/>
          </a:pPr>
          <a:r>
            <a:rPr lang="nb-NO" sz="1600" b="0" i="0" u="none" strike="noStrike" baseline="0">
              <a:solidFill>
                <a:srgbClr val="000000"/>
              </a:solidFill>
              <a:latin typeface="Arial"/>
              <a:cs typeface="Arial"/>
            </a:rPr>
            <a:t>This wizard is based on a parameterized Genie input file utilizing Jscript</a:t>
          </a:r>
        </a:p>
        <a:p>
          <a:pPr algn="l" rtl="0">
            <a:defRPr sz="1000"/>
          </a:pPr>
          <a:r>
            <a:rPr lang="nb-NO" sz="1600" b="0" i="0" u="none" strike="noStrike" baseline="0">
              <a:solidFill>
                <a:srgbClr val="000000"/>
              </a:solidFill>
              <a:latin typeface="Arial"/>
              <a:cs typeface="Arial"/>
            </a:rPr>
            <a:t>The file has a general part and a specific part</a:t>
          </a:r>
        </a:p>
        <a:p>
          <a:pPr algn="l" rtl="0">
            <a:defRPr sz="1000"/>
          </a:pPr>
          <a:r>
            <a:rPr lang="nb-NO" sz="1600" b="0" i="0" u="none" strike="noStrike" baseline="0">
              <a:solidFill>
                <a:srgbClr val="000000"/>
              </a:solidFill>
              <a:latin typeface="Arial"/>
              <a:cs typeface="Arial"/>
            </a:rPr>
            <a:t>The specific part defines all dimensions for the current jacket and assign these to variables</a:t>
          </a:r>
        </a:p>
        <a:p>
          <a:pPr algn="l" rtl="0">
            <a:defRPr sz="1000"/>
          </a:pPr>
          <a:r>
            <a:rPr lang="nb-NO" sz="1600" b="0" i="0" u="none" strike="noStrike" baseline="0">
              <a:solidFill>
                <a:srgbClr val="000000"/>
              </a:solidFill>
              <a:latin typeface="Arial"/>
              <a:cs typeface="Arial"/>
            </a:rPr>
            <a:t>This part is written to the Output sheet, column A when you press Run Genie</a:t>
          </a:r>
        </a:p>
        <a:p>
          <a:pPr algn="l" rtl="0">
            <a:defRPr sz="1000"/>
          </a:pPr>
          <a:r>
            <a:rPr lang="nb-NO" sz="1600" b="0" i="0" u="none" strike="noStrike" baseline="0">
              <a:solidFill>
                <a:srgbClr val="000000"/>
              </a:solidFill>
              <a:latin typeface="Arial"/>
              <a:cs typeface="Arial"/>
            </a:rPr>
            <a:t>The general part creates the jacket model based on the variables given in the specific part</a:t>
          </a:r>
        </a:p>
        <a:p>
          <a:pPr algn="l" rtl="0">
            <a:defRPr sz="1000"/>
          </a:pPr>
          <a:r>
            <a:rPr lang="nb-NO" sz="1600" b="0" i="0" u="none" strike="noStrike" baseline="0">
              <a:solidFill>
                <a:srgbClr val="000000"/>
              </a:solidFill>
              <a:latin typeface="Arial"/>
              <a:cs typeface="Arial"/>
            </a:rPr>
            <a:t>The general part is stored on the Output sheet in column B. You may modify the wizard by editing this script</a:t>
          </a:r>
        </a:p>
        <a:p>
          <a:pPr algn="l" rtl="0">
            <a:defRPr sz="1000"/>
          </a:pPr>
          <a:r>
            <a:rPr lang="nb-NO" sz="1600" b="0" i="0" u="none" strike="noStrike" baseline="0">
              <a:solidFill>
                <a:srgbClr val="000000"/>
              </a:solidFill>
              <a:latin typeface="Arial"/>
              <a:cs typeface="Arial"/>
            </a:rPr>
            <a:t>Excel is used as an user interface to record the dimensions and provide a preview</a:t>
          </a:r>
        </a:p>
        <a:p>
          <a:pPr algn="l" rtl="0">
            <a:defRPr sz="1000"/>
          </a:pPr>
          <a:r>
            <a:rPr lang="nb-NO" sz="1600" b="0" i="0" u="none" strike="noStrike" baseline="0">
              <a:solidFill>
                <a:srgbClr val="000000"/>
              </a:solidFill>
              <a:latin typeface="Arial"/>
              <a:cs typeface="Arial"/>
            </a:rPr>
            <a:t>Transfer of data from Excel to Genie is handled by a VBA script stored in this workbook</a:t>
          </a:r>
        </a:p>
        <a:p>
          <a:pPr algn="l" rtl="0">
            <a:defRPr sz="1000"/>
          </a:pPr>
          <a:endParaRPr lang="nb-NO" sz="1600" b="0" i="0" u="none" strike="noStrike" baseline="0">
            <a:solidFill>
              <a:srgbClr val="000000"/>
            </a:solidFill>
            <a:latin typeface="Arial"/>
            <a:cs typeface="Arial"/>
          </a:endParaRPr>
        </a:p>
        <a:p>
          <a:pPr algn="l" rtl="0">
            <a:defRPr sz="1000"/>
          </a:pPr>
          <a:r>
            <a:rPr lang="nb-NO" sz="1600" b="0" i="0" u="none" strike="noStrike" baseline="0">
              <a:solidFill>
                <a:srgbClr val="000000"/>
              </a:solidFill>
              <a:latin typeface="Arial"/>
              <a:cs typeface="Arial"/>
            </a:rPr>
            <a:t>The workbook is protected with password: wizard_of_oz</a:t>
          </a:r>
        </a:p>
        <a:p>
          <a:pPr algn="l" rtl="0">
            <a:defRPr sz="1000"/>
          </a:pPr>
          <a:r>
            <a:rPr lang="nb-NO" sz="1600" b="0" i="0" u="none" strike="noStrike" baseline="0">
              <a:solidFill>
                <a:srgbClr val="000000"/>
              </a:solidFill>
              <a:latin typeface="Arial"/>
              <a:cs typeface="Arial"/>
            </a:rPr>
            <a:t>The Preview, Write and Run buttons will turn on the protection. For further development you may use the Protection and Toolbars buttons to toggle protection and restore normal toolbars conveniently.</a:t>
          </a:r>
        </a:p>
        <a:p>
          <a:pPr algn="l" rtl="0">
            <a:defRPr sz="1000"/>
          </a:pPr>
          <a:endParaRPr lang="nb-NO"/>
        </a:p>
      </xdr:txBody>
    </xdr:sp>
    <xdr:clientData/>
  </xdr:twoCellAnchor>
  <xdr:twoCellAnchor>
    <xdr:from>
      <xdr:col>1</xdr:col>
      <xdr:colOff>914400</xdr:colOff>
      <xdr:row>11</xdr:row>
      <xdr:rowOff>9525</xdr:rowOff>
    </xdr:from>
    <xdr:to>
      <xdr:col>14</xdr:col>
      <xdr:colOff>57150</xdr:colOff>
      <xdr:row>39</xdr:row>
      <xdr:rowOff>66675</xdr:rowOff>
    </xdr:to>
    <xdr:sp macro="" textlink="">
      <xdr:nvSpPr>
        <xdr:cNvPr id="10280" name="step16" hidden="1"/>
        <xdr:cNvSpPr>
          <a:spLocks noChangeArrowheads="1"/>
        </xdr:cNvSpPr>
      </xdr:nvSpPr>
      <xdr:spPr bwMode="auto">
        <a:xfrm>
          <a:off x="1524000" y="1838325"/>
          <a:ext cx="6019800" cy="2190750"/>
        </a:xfrm>
        <a:prstGeom prst="wedgeRectCallout">
          <a:avLst>
            <a:gd name="adj1" fmla="val 37185"/>
            <a:gd name="adj2" fmla="val 3042"/>
          </a:avLst>
        </a:prstGeom>
        <a:solidFill>
          <a:srgbClr xmlns:mc="http://schemas.openxmlformats.org/markup-compatibility/2006" xmlns:a14="http://schemas.microsoft.com/office/drawing/2010/main" val="FFFFE1" mc:Ignorable="a14" a14:legacySpreadsheetColorIndex="80"/>
        </a:solidFill>
        <a:ln w="9525" algn="ctr">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txBody>
        <a:bodyPr vertOverflow="clip" wrap="square" lIns="360000" tIns="46800" rIns="90000" bIns="46800" anchor="t" upright="1"/>
        <a:lstStyle/>
        <a:p>
          <a:pPr algn="l" rtl="0">
            <a:defRPr sz="1000"/>
          </a:pPr>
          <a:r>
            <a:rPr lang="nb-NO" sz="1600" b="0" i="0" u="none" strike="noStrike" baseline="0">
              <a:solidFill>
                <a:srgbClr val="000000"/>
              </a:solidFill>
              <a:latin typeface="Arial"/>
              <a:cs typeface="Arial"/>
            </a:rPr>
            <a:t>Note:</a:t>
          </a:r>
        </a:p>
        <a:p>
          <a:pPr algn="l" rtl="0">
            <a:defRPr sz="1000"/>
          </a:pPr>
          <a:r>
            <a:rPr lang="nb-NO" sz="1600" b="0" i="0" u="none" strike="noStrike" baseline="0">
              <a:solidFill>
                <a:srgbClr val="000000"/>
              </a:solidFill>
              <a:latin typeface="Arial"/>
              <a:cs typeface="Arial"/>
            </a:rPr>
            <a:t>Do not use "Cut/Paste", Ctrl-X/Ctrl-V to move data.  </a:t>
          </a:r>
        </a:p>
        <a:p>
          <a:pPr algn="l" rtl="0">
            <a:defRPr sz="1000"/>
          </a:pPr>
          <a:r>
            <a:rPr lang="nb-NO" sz="1600" b="0" i="0" u="none" strike="noStrike" baseline="0">
              <a:solidFill>
                <a:srgbClr val="000000"/>
              </a:solidFill>
              <a:latin typeface="Arial"/>
              <a:cs typeface="Arial"/>
            </a:rPr>
            <a:t>This will cause references to the cells you paste into to be invalid. Copy/Paste will work fine. This is general behaviour of Excel.</a:t>
          </a:r>
        </a:p>
        <a:p>
          <a:pPr algn="l" rtl="0">
            <a:defRPr sz="1000"/>
          </a:pPr>
          <a:endParaRPr lang="nb-NO" sz="1600" b="0" i="0" u="none" strike="noStrike" baseline="0">
            <a:solidFill>
              <a:srgbClr val="000000"/>
            </a:solidFill>
            <a:latin typeface="Arial"/>
            <a:cs typeface="Arial"/>
          </a:endParaRPr>
        </a:p>
        <a:p>
          <a:pPr algn="l" rtl="0">
            <a:defRPr sz="1000"/>
          </a:pPr>
          <a:r>
            <a:rPr lang="nb-NO" sz="1600" b="1" i="0" u="none" strike="noStrike" baseline="0">
              <a:solidFill>
                <a:srgbClr val="000000"/>
              </a:solidFill>
              <a:latin typeface="Arial"/>
              <a:cs typeface="Arial"/>
            </a:rPr>
            <a:t>To return to Jacket input, select the Jacket sheet</a:t>
          </a:r>
          <a:endParaRPr lang="nb-NO"/>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0000" tIns="180000" rIns="180000" bIns="18000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0000" tIns="180000" rIns="180000" bIns="18000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8.emf"/><Relationship Id="rId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BD213"/>
  <sheetViews>
    <sheetView showRowColHeaders="0" tabSelected="1" workbookViewId="0">
      <pane ySplit="4" topLeftCell="A5" activePane="bottomLeft" state="frozen"/>
      <selection pane="bottomLeft" activeCell="C3" sqref="C3:E3"/>
    </sheetView>
  </sheetViews>
  <sheetFormatPr defaultRowHeight="12.75" x14ac:dyDescent="0.2"/>
  <cols>
    <col min="1" max="1" width="3.140625" style="4" customWidth="1"/>
    <col min="2" max="2" width="19.5703125" style="4" customWidth="1"/>
    <col min="3" max="3" width="14.7109375" style="4" customWidth="1"/>
    <col min="4" max="4" width="8.42578125" style="4" customWidth="1"/>
    <col min="5" max="5" width="11.7109375" style="5" customWidth="1"/>
    <col min="6" max="6" width="9" style="5" customWidth="1"/>
    <col min="7" max="7" width="8.7109375" style="5" customWidth="1"/>
    <col min="8" max="19" width="4.85546875" style="4" customWidth="1"/>
    <col min="20" max="28" width="4.85546875" style="4" hidden="1" customWidth="1"/>
    <col min="29" max="29" width="15.5703125" style="4" hidden="1" customWidth="1"/>
    <col min="30" max="30" width="8.7109375" style="4" hidden="1" customWidth="1"/>
    <col min="31" max="31" width="14.5703125" style="4" hidden="1" customWidth="1"/>
    <col min="32" max="32" width="11.28515625" style="4" hidden="1" customWidth="1"/>
    <col min="33" max="36" width="9.140625" style="4" hidden="1" customWidth="1"/>
    <col min="37" max="56" width="4.85546875" style="4" hidden="1" customWidth="1"/>
    <col min="57" max="16384" width="9.140625" style="4"/>
  </cols>
  <sheetData>
    <row r="1" spans="2:56" ht="6" customHeight="1" x14ac:dyDescent="0.2"/>
    <row r="2" spans="2:56" ht="18" x14ac:dyDescent="0.25">
      <c r="B2" s="73" t="s">
        <v>416</v>
      </c>
      <c r="C2" s="74"/>
      <c r="D2" s="120" t="s">
        <v>417</v>
      </c>
      <c r="E2" s="121" t="s">
        <v>525</v>
      </c>
      <c r="F2" s="4"/>
      <c r="G2" s="46"/>
      <c r="H2" s="77" t="s">
        <v>339</v>
      </c>
    </row>
    <row r="3" spans="2:56" ht="18" x14ac:dyDescent="0.25">
      <c r="B3" s="26" t="s">
        <v>91</v>
      </c>
      <c r="C3" s="192" t="s">
        <v>526</v>
      </c>
      <c r="D3" s="193"/>
      <c r="E3" s="194"/>
      <c r="F3" s="4"/>
      <c r="G3" s="4"/>
      <c r="H3" s="46"/>
    </row>
    <row r="4" spans="2:56" ht="6" customHeight="1" x14ac:dyDescent="0.2">
      <c r="J4" s="6"/>
    </row>
    <row r="5" spans="2:56" ht="6" customHeight="1" x14ac:dyDescent="0.2"/>
    <row r="6" spans="2:56" x14ac:dyDescent="0.2">
      <c r="B6" s="22" t="s">
        <v>102</v>
      </c>
      <c r="C6" s="21"/>
      <c r="E6" s="130" t="s">
        <v>15</v>
      </c>
      <c r="F6" s="131"/>
      <c r="G6" s="3" t="s">
        <v>402</v>
      </c>
      <c r="H6" s="177" t="str">
        <f>IF(AK9="",H11,CONCATENATE(H11," (",FIXED(AK9,2),")"))</f>
        <v>1 (-7.90)</v>
      </c>
      <c r="I6" s="178"/>
      <c r="J6" s="179" t="str">
        <f>IF(AM9="",J11,CONCATENATE(J11," (",FIXED(AM9,2),")"))</f>
        <v>2 (12.00)</v>
      </c>
      <c r="K6" s="180"/>
      <c r="L6" s="179" t="str">
        <f>IF(AO9="",L11,CONCATENATE(L11," (",FIXED(AO9,2),")"))</f>
        <v>3 (18.90)</v>
      </c>
      <c r="M6" s="180"/>
      <c r="N6" s="179">
        <f>IF(AQ9="",N11,CONCATENATE(N11," (",FIXED(AQ9,2),")"))</f>
        <v>4</v>
      </c>
      <c r="O6" s="180"/>
      <c r="P6" s="179">
        <f>IF(AS9="",P11,CONCATENATE(P11," (",FIXED(AS9,2),")"))</f>
        <v>5</v>
      </c>
      <c r="Q6" s="180"/>
      <c r="R6" s="179">
        <f>IF(AU9="",R11,CONCATENATE(R11," (",FIXED(AU9,2),")"))</f>
        <v>7</v>
      </c>
      <c r="S6" s="180"/>
      <c r="T6" s="179">
        <f>IF(AW9="",T11,CONCATENATE(T11," (",FIXED(AW9,2),")"))</f>
        <v>8</v>
      </c>
      <c r="U6" s="180"/>
      <c r="V6" s="179">
        <f>IF(AY9="",V11,CONCATENATE(V11," (",FIXED(AY9,2),")"))</f>
        <v>9</v>
      </c>
      <c r="W6" s="180"/>
      <c r="X6" s="179">
        <f>IF(BA9="",X11,CONCATENATE(X11," (",FIXED(BA9,2),")"))</f>
        <v>10</v>
      </c>
      <c r="Y6" s="180"/>
      <c r="Z6" s="179" t="str">
        <f>IF(BC9="",Z11,CONCATENATE(Z11," (",FIXED(BC9,2),")"))</f>
        <v>11</v>
      </c>
      <c r="AA6" s="180"/>
      <c r="AI6" s="1" t="s">
        <v>47</v>
      </c>
      <c r="AJ6" s="33" t="s">
        <v>152</v>
      </c>
      <c r="AK6" s="161" t="s">
        <v>16</v>
      </c>
      <c r="AL6" s="166"/>
      <c r="AM6" s="161" t="s">
        <v>17</v>
      </c>
      <c r="AN6" s="166"/>
      <c r="AO6" s="161" t="s">
        <v>18</v>
      </c>
      <c r="AP6" s="166"/>
      <c r="AQ6" s="161" t="s">
        <v>19</v>
      </c>
      <c r="AR6" s="166"/>
      <c r="AS6" s="161" t="s">
        <v>20</v>
      </c>
      <c r="AT6" s="166"/>
      <c r="AU6" s="161" t="s">
        <v>21</v>
      </c>
      <c r="AV6" s="166"/>
      <c r="AW6" s="161" t="s">
        <v>22</v>
      </c>
      <c r="AX6" s="166"/>
      <c r="AY6" s="161" t="s">
        <v>23</v>
      </c>
      <c r="AZ6" s="166"/>
      <c r="BA6" s="161" t="s">
        <v>24</v>
      </c>
      <c r="BB6" s="166"/>
      <c r="BC6" s="161" t="s">
        <v>150</v>
      </c>
      <c r="BD6" s="166"/>
    </row>
    <row r="7" spans="2:56" x14ac:dyDescent="0.2">
      <c r="B7" s="22" t="s">
        <v>97</v>
      </c>
      <c r="C7" s="47" t="s">
        <v>106</v>
      </c>
      <c r="E7" s="132"/>
      <c r="F7" s="133"/>
      <c r="G7" s="38" t="s">
        <v>154</v>
      </c>
      <c r="H7" s="151">
        <f>1/10</f>
        <v>0.1</v>
      </c>
      <c r="I7" s="181"/>
      <c r="J7" s="151">
        <v>0</v>
      </c>
      <c r="K7" s="181"/>
      <c r="L7" s="151">
        <v>-0.1</v>
      </c>
      <c r="M7" s="181"/>
      <c r="N7" s="168"/>
      <c r="O7" s="181"/>
      <c r="P7" s="151"/>
      <c r="Q7" s="151"/>
      <c r="R7" s="151"/>
      <c r="S7" s="151"/>
      <c r="T7" s="151"/>
      <c r="U7" s="151"/>
      <c r="V7" s="151"/>
      <c r="W7" s="151"/>
      <c r="X7" s="151"/>
      <c r="Y7" s="151"/>
      <c r="Z7" s="182"/>
      <c r="AA7" s="183"/>
      <c r="AI7" s="1"/>
      <c r="AJ7" s="34" t="s">
        <v>151</v>
      </c>
      <c r="AK7" s="186">
        <f>H7</f>
        <v>0.1</v>
      </c>
      <c r="AL7" s="187"/>
      <c r="AM7" s="186">
        <f>IF(J7="",IF(I8="","",AK7+I8),J7)</f>
        <v>0</v>
      </c>
      <c r="AN7" s="187"/>
      <c r="AO7" s="186">
        <f>IF(L7="",IF(K8="","",AM7+K8),L7)</f>
        <v>-0.1</v>
      </c>
      <c r="AP7" s="187"/>
      <c r="AQ7" s="186" t="str">
        <f>IF(N7="",IF(M8="","",AO7+M8),N7)</f>
        <v/>
      </c>
      <c r="AR7" s="187"/>
      <c r="AS7" s="186" t="str">
        <f>IF(P7="",IF(O8="","",AQ7+O8),P7)</f>
        <v/>
      </c>
      <c r="AT7" s="187"/>
      <c r="AU7" s="186" t="str">
        <f>IF(R7="",IF(Q8="","",AS7+Q8),R7)</f>
        <v/>
      </c>
      <c r="AV7" s="187"/>
      <c r="AW7" s="186" t="str">
        <f>IF(T7="",IF(S8="","",AU7+S8),T7)</f>
        <v/>
      </c>
      <c r="AX7" s="187"/>
      <c r="AY7" s="186" t="str">
        <f>IF(V7="",IF(U8="","",AW7+U8),V7)</f>
        <v/>
      </c>
      <c r="AZ7" s="187"/>
      <c r="BA7" s="186" t="str">
        <f>IF(X7="",IF(W8="","",AY7+W8),X7)</f>
        <v/>
      </c>
      <c r="BB7" s="187"/>
      <c r="BC7" s="186" t="str">
        <f>IF(Z7="",IF(Y8="","",BA7+Y8),Z7)</f>
        <v/>
      </c>
      <c r="BD7" s="187"/>
    </row>
    <row r="8" spans="2:56" x14ac:dyDescent="0.2">
      <c r="B8" s="20"/>
      <c r="C8" s="47"/>
      <c r="E8" s="16"/>
      <c r="F8" s="17"/>
      <c r="G8" s="43" t="s">
        <v>149</v>
      </c>
      <c r="H8" s="31"/>
      <c r="I8" s="260"/>
      <c r="J8" s="261"/>
      <c r="K8" s="260"/>
      <c r="L8" s="261"/>
      <c r="M8" s="260"/>
      <c r="N8" s="261"/>
      <c r="O8" s="260"/>
      <c r="P8" s="261"/>
      <c r="Q8" s="260"/>
      <c r="R8" s="261"/>
      <c r="S8" s="262"/>
      <c r="T8" s="262"/>
      <c r="U8" s="260"/>
      <c r="V8" s="261"/>
      <c r="W8" s="260"/>
      <c r="X8" s="261"/>
      <c r="Y8" s="260"/>
      <c r="Z8" s="259"/>
      <c r="AA8" s="28"/>
      <c r="AI8" s="1"/>
      <c r="AJ8" s="32" t="s">
        <v>149</v>
      </c>
      <c r="AK8" s="3"/>
      <c r="AL8" s="149">
        <f>IF(H7="",IF(I8="","",I8),AM7-AK7)</f>
        <v>-0.1</v>
      </c>
      <c r="AM8" s="150"/>
      <c r="AN8" s="149">
        <f>IF(L7="",IF(K8="","",K8),AO7-AM7)</f>
        <v>-0.1</v>
      </c>
      <c r="AO8" s="150"/>
      <c r="AP8" s="149" t="str">
        <f>IF(N7="",IF(M8="","",M8),AQ7-AO7)</f>
        <v/>
      </c>
      <c r="AQ8" s="150"/>
      <c r="AR8" s="149" t="str">
        <f>IF(P7="",IF(O8="","",O8),AS7-AQ7)</f>
        <v/>
      </c>
      <c r="AS8" s="150"/>
      <c r="AT8" s="149" t="str">
        <f>IF(R7="",IF(Q8="","",Q8),AU7-AS7)</f>
        <v/>
      </c>
      <c r="AU8" s="150"/>
      <c r="AV8" s="149" t="str">
        <f>IF(T7="",IF(S8="","",S8),AW7-AU7)</f>
        <v/>
      </c>
      <c r="AW8" s="150"/>
      <c r="AX8" s="149" t="str">
        <f>IF(V7="",IF(U8="","",U8),AY7-AW7)</f>
        <v/>
      </c>
      <c r="AY8" s="150"/>
      <c r="AZ8" s="149" t="str">
        <f>IF(X7="",IF(W8="","",W8),BA7-AY7)</f>
        <v/>
      </c>
      <c r="BA8" s="150"/>
      <c r="BB8" s="149" t="str">
        <f>IF(Z7="",IF(Y8="","",Y8),BC7-BA7)</f>
        <v/>
      </c>
      <c r="BC8" s="150"/>
      <c r="BD8" s="28"/>
    </row>
    <row r="9" spans="2:56" x14ac:dyDescent="0.2">
      <c r="B9" s="20"/>
      <c r="C9" s="47"/>
      <c r="E9" s="18"/>
      <c r="F9" s="19"/>
      <c r="G9" s="44" t="s">
        <v>4</v>
      </c>
      <c r="H9" s="31"/>
      <c r="I9" s="188" t="s">
        <v>3</v>
      </c>
      <c r="J9" s="176"/>
      <c r="K9" s="176" t="s">
        <v>2</v>
      </c>
      <c r="L9" s="176"/>
      <c r="M9" s="176"/>
      <c r="N9" s="176"/>
      <c r="O9" s="176"/>
      <c r="P9" s="176"/>
      <c r="Q9" s="176"/>
      <c r="R9" s="176"/>
      <c r="S9" s="31"/>
      <c r="T9" s="31"/>
      <c r="U9" s="176"/>
      <c r="V9" s="176"/>
      <c r="W9" s="176"/>
      <c r="X9" s="176"/>
      <c r="Y9" s="189"/>
      <c r="Z9" s="157"/>
      <c r="AA9" s="28"/>
      <c r="AJ9" s="4" t="s">
        <v>158</v>
      </c>
      <c r="AK9" s="190">
        <v>-7.8980917359999987</v>
      </c>
      <c r="AL9" s="190"/>
      <c r="AM9" s="190">
        <v>12</v>
      </c>
      <c r="AN9" s="190"/>
      <c r="AO9" s="190">
        <v>18.898091735999998</v>
      </c>
      <c r="AP9" s="190"/>
      <c r="AQ9" s="190"/>
      <c r="AR9" s="190"/>
      <c r="AS9" s="190"/>
      <c r="AT9" s="190"/>
      <c r="AU9" s="190"/>
      <c r="AV9" s="190"/>
      <c r="AW9" s="190"/>
      <c r="AX9" s="190"/>
      <c r="AY9" s="190"/>
      <c r="AZ9" s="190"/>
      <c r="BA9" s="190"/>
      <c r="BB9" s="190"/>
      <c r="BC9" s="190"/>
      <c r="BD9" s="190"/>
    </row>
    <row r="10" spans="2:56" x14ac:dyDescent="0.2">
      <c r="B10" s="22" t="s">
        <v>99</v>
      </c>
      <c r="C10" s="21"/>
      <c r="E10" s="45" t="s">
        <v>49</v>
      </c>
      <c r="F10" s="29" t="s">
        <v>141</v>
      </c>
      <c r="G10" s="29" t="s">
        <v>149</v>
      </c>
      <c r="H10" s="13"/>
      <c r="I10" s="36"/>
      <c r="J10" s="36"/>
      <c r="K10" s="36"/>
      <c r="L10" s="36"/>
      <c r="M10" s="36"/>
      <c r="N10" s="36"/>
      <c r="O10" s="36"/>
      <c r="P10" s="36"/>
      <c r="Q10" s="36"/>
      <c r="R10" s="36"/>
      <c r="S10" s="36"/>
      <c r="T10" s="36"/>
      <c r="U10" s="36"/>
      <c r="V10" s="36"/>
      <c r="W10" s="36"/>
      <c r="X10" s="36"/>
      <c r="Y10" s="36"/>
      <c r="Z10" s="13"/>
      <c r="AA10" s="13"/>
      <c r="AH10" s="39"/>
      <c r="AI10" s="1" t="s">
        <v>5</v>
      </c>
      <c r="AJ10" s="1" t="s">
        <v>48</v>
      </c>
    </row>
    <row r="11" spans="2:56" ht="6.6" customHeight="1" x14ac:dyDescent="0.25">
      <c r="B11" s="136" t="s">
        <v>98</v>
      </c>
      <c r="C11" s="134" t="s">
        <v>424</v>
      </c>
      <c r="D11" s="127"/>
      <c r="E11" s="171" t="str">
        <f>IF(AI11="",AH11,CONCATENATE(AH11," (",FIXED(AI11,2),")"))</f>
        <v>Z23</v>
      </c>
      <c r="F11" s="169"/>
      <c r="G11" s="15"/>
      <c r="H11" s="147">
        <f>General!E72</f>
        <v>1</v>
      </c>
      <c r="I11" s="148"/>
      <c r="J11" s="147">
        <f>General!E73</f>
        <v>2</v>
      </c>
      <c r="K11" s="148"/>
      <c r="L11" s="147">
        <f>General!E74</f>
        <v>3</v>
      </c>
      <c r="M11" s="148"/>
      <c r="N11" s="147">
        <f>General!E75</f>
        <v>4</v>
      </c>
      <c r="O11" s="148"/>
      <c r="P11" s="147">
        <f>General!E76</f>
        <v>5</v>
      </c>
      <c r="Q11" s="148"/>
      <c r="R11" s="147">
        <f>General!E78</f>
        <v>7</v>
      </c>
      <c r="S11" s="148"/>
      <c r="T11" s="147">
        <f>General!E79</f>
        <v>8</v>
      </c>
      <c r="U11" s="147"/>
      <c r="V11" s="147">
        <f>General!E80</f>
        <v>9</v>
      </c>
      <c r="W11" s="147"/>
      <c r="X11" s="147">
        <f>General!E81</f>
        <v>10</v>
      </c>
      <c r="Y11" s="147"/>
      <c r="Z11" s="147" t="str">
        <f>General!E82</f>
        <v>11</v>
      </c>
      <c r="AA11" s="147"/>
      <c r="AH11" s="145" t="str">
        <f>General!G95</f>
        <v>Z23</v>
      </c>
      <c r="AI11" s="163" t="str">
        <f>IF(F11="",IF(G12="","",G12+AI13),F11)</f>
        <v/>
      </c>
      <c r="AJ11" s="2"/>
    </row>
    <row r="12" spans="2:56" ht="6.6" customHeight="1" x14ac:dyDescent="0.2">
      <c r="B12" s="144"/>
      <c r="C12" s="135"/>
      <c r="D12" s="127"/>
      <c r="E12" s="172"/>
      <c r="F12" s="170"/>
      <c r="G12" s="169"/>
      <c r="H12" s="13"/>
      <c r="I12" s="36"/>
      <c r="J12" s="36"/>
      <c r="K12" s="36"/>
      <c r="L12" s="36"/>
      <c r="M12" s="36"/>
      <c r="N12" s="36"/>
      <c r="O12" s="36"/>
      <c r="P12" s="36"/>
      <c r="Q12" s="36"/>
      <c r="R12" s="36"/>
      <c r="S12" s="36"/>
      <c r="T12" s="36"/>
      <c r="U12" s="36"/>
      <c r="V12" s="36"/>
      <c r="W12" s="36"/>
      <c r="X12" s="36"/>
      <c r="Y12" s="36"/>
      <c r="Z12" s="13"/>
      <c r="AA12" s="13"/>
      <c r="AH12" s="145"/>
      <c r="AI12" s="167"/>
      <c r="AJ12" s="174" t="str">
        <f>IF(F11="",IF(G12="","",G12),AI11-AI13)</f>
        <v/>
      </c>
    </row>
    <row r="13" spans="2:56" ht="6.6" customHeight="1" x14ac:dyDescent="0.2">
      <c r="B13" s="136" t="s">
        <v>100</v>
      </c>
      <c r="C13" s="134" t="s">
        <v>423</v>
      </c>
      <c r="E13" s="171" t="str">
        <f>IF(AI13="",AH13,CONCATENATE(AH13," (",FIXED(AI13,2),")"))</f>
        <v>Z22</v>
      </c>
      <c r="F13" s="169"/>
      <c r="G13" s="170"/>
      <c r="H13" s="13"/>
      <c r="I13" s="36"/>
      <c r="J13" s="36"/>
      <c r="K13" s="36"/>
      <c r="L13" s="36"/>
      <c r="M13" s="36"/>
      <c r="N13" s="36"/>
      <c r="O13" s="36"/>
      <c r="P13" s="36"/>
      <c r="Q13" s="36"/>
      <c r="R13" s="36"/>
      <c r="S13" s="36"/>
      <c r="T13" s="36"/>
      <c r="U13" s="36"/>
      <c r="V13" s="36"/>
      <c r="W13" s="36"/>
      <c r="X13" s="36"/>
      <c r="Y13" s="36"/>
      <c r="Z13" s="13"/>
      <c r="AA13" s="13"/>
      <c r="AH13" s="145" t="str">
        <f>General!G94</f>
        <v>Z22</v>
      </c>
      <c r="AI13" s="163" t="str">
        <f>IF(F13="",IF(G14="","",G14+AI15),F13)</f>
        <v/>
      </c>
      <c r="AJ13" s="175"/>
    </row>
    <row r="14" spans="2:56" ht="6.6" customHeight="1" x14ac:dyDescent="0.2">
      <c r="B14" s="144"/>
      <c r="C14" s="135"/>
      <c r="E14" s="172"/>
      <c r="F14" s="170"/>
      <c r="G14" s="169"/>
      <c r="H14" s="13"/>
      <c r="I14" s="36"/>
      <c r="J14" s="36"/>
      <c r="K14" s="36"/>
      <c r="L14" s="36"/>
      <c r="M14" s="36"/>
      <c r="N14" s="36"/>
      <c r="O14" s="36"/>
      <c r="P14" s="36"/>
      <c r="Q14" s="36"/>
      <c r="R14" s="36"/>
      <c r="S14" s="36"/>
      <c r="T14" s="36"/>
      <c r="U14" s="36"/>
      <c r="V14" s="36"/>
      <c r="W14" s="36"/>
      <c r="X14" s="36"/>
      <c r="Y14" s="36"/>
      <c r="Z14" s="13"/>
      <c r="AA14" s="13"/>
      <c r="AH14" s="146"/>
      <c r="AI14" s="167"/>
      <c r="AJ14" s="174" t="str">
        <f>IF(F13="",IF(G14="","",G14),AI13-AI15)</f>
        <v/>
      </c>
    </row>
    <row r="15" spans="2:56" ht="6.6" customHeight="1" x14ac:dyDescent="0.2">
      <c r="B15" s="136" t="s">
        <v>101</v>
      </c>
      <c r="C15" s="134" t="s">
        <v>421</v>
      </c>
      <c r="E15" s="171" t="str">
        <f>IF(AI15="",AH15,CONCATENATE(AH15," (",FIXED(AI15,2),")"))</f>
        <v>Z21</v>
      </c>
      <c r="F15" s="169"/>
      <c r="G15" s="170"/>
      <c r="H15" s="13"/>
      <c r="I15" s="36"/>
      <c r="J15" s="36"/>
      <c r="K15" s="36"/>
      <c r="L15" s="36"/>
      <c r="M15" s="36"/>
      <c r="N15" s="36"/>
      <c r="O15" s="36"/>
      <c r="P15" s="36"/>
      <c r="Q15" s="36"/>
      <c r="R15" s="36"/>
      <c r="S15" s="36"/>
      <c r="T15" s="36"/>
      <c r="U15" s="36"/>
      <c r="V15" s="36"/>
      <c r="W15" s="36"/>
      <c r="X15" s="36"/>
      <c r="Y15" s="36"/>
      <c r="Z15" s="13"/>
      <c r="AA15" s="13"/>
      <c r="AH15" s="145" t="str">
        <f>General!G93</f>
        <v>Z21</v>
      </c>
      <c r="AI15" s="163" t="str">
        <f>IF(F15="",IF(G16="","",G16+AI17),F15)</f>
        <v/>
      </c>
      <c r="AJ15" s="175"/>
    </row>
    <row r="16" spans="2:56" ht="6.6" customHeight="1" x14ac:dyDescent="0.2">
      <c r="B16" s="136"/>
      <c r="C16" s="134"/>
      <c r="E16" s="172"/>
      <c r="F16" s="170"/>
      <c r="G16" s="169"/>
      <c r="H16" s="13"/>
      <c r="I16" s="36"/>
      <c r="J16" s="36"/>
      <c r="K16" s="36"/>
      <c r="L16" s="36"/>
      <c r="M16" s="36"/>
      <c r="N16" s="36"/>
      <c r="O16" s="36"/>
      <c r="P16" s="36"/>
      <c r="Q16" s="36"/>
      <c r="R16" s="36"/>
      <c r="S16" s="36"/>
      <c r="T16" s="36"/>
      <c r="U16" s="36"/>
      <c r="V16" s="36"/>
      <c r="W16" s="36"/>
      <c r="X16" s="36"/>
      <c r="Y16" s="36"/>
      <c r="Z16" s="13"/>
      <c r="AA16" s="13"/>
      <c r="AH16" s="145"/>
      <c r="AI16" s="167"/>
      <c r="AJ16" s="174" t="str">
        <f>IF(F15="",IF(G16="","",G16),AI15-AI17)</f>
        <v/>
      </c>
    </row>
    <row r="17" spans="2:36" ht="6.6" customHeight="1" x14ac:dyDescent="0.2">
      <c r="B17" s="136"/>
      <c r="C17" s="134"/>
      <c r="E17" s="171" t="str">
        <f>IF(AI17="",AH17,CONCATENATE(AH17," (",FIXED(AI17,2),")"))</f>
        <v>Z20</v>
      </c>
      <c r="F17" s="169"/>
      <c r="G17" s="170"/>
      <c r="H17" s="13"/>
      <c r="I17" s="36"/>
      <c r="J17" s="36"/>
      <c r="K17" s="36"/>
      <c r="L17" s="36"/>
      <c r="M17" s="36"/>
      <c r="N17" s="36"/>
      <c r="O17" s="36"/>
      <c r="P17" s="36"/>
      <c r="Q17" s="36"/>
      <c r="R17" s="36"/>
      <c r="S17" s="36"/>
      <c r="T17" s="36"/>
      <c r="U17" s="36"/>
      <c r="V17" s="36"/>
      <c r="W17" s="36"/>
      <c r="X17" s="36"/>
      <c r="Y17" s="36"/>
      <c r="Z17" s="13"/>
      <c r="AA17" s="13"/>
      <c r="AH17" s="145" t="str">
        <f>General!G92</f>
        <v>Z20</v>
      </c>
      <c r="AI17" s="163" t="str">
        <f>IF(F17="",IF(G18="","",G18+AI19),F17)</f>
        <v/>
      </c>
      <c r="AJ17" s="175"/>
    </row>
    <row r="18" spans="2:36" ht="6.6" customHeight="1" x14ac:dyDescent="0.2">
      <c r="B18" s="136"/>
      <c r="C18" s="134"/>
      <c r="E18" s="172"/>
      <c r="F18" s="170"/>
      <c r="G18" s="169"/>
      <c r="H18" s="13"/>
      <c r="I18" s="36"/>
      <c r="J18" s="36"/>
      <c r="K18" s="36"/>
      <c r="L18" s="36"/>
      <c r="M18" s="36"/>
      <c r="N18" s="36"/>
      <c r="O18" s="36"/>
      <c r="P18" s="36"/>
      <c r="Q18" s="36"/>
      <c r="R18" s="36"/>
      <c r="S18" s="36"/>
      <c r="T18" s="36"/>
      <c r="U18" s="36"/>
      <c r="V18" s="36"/>
      <c r="W18" s="36"/>
      <c r="X18" s="36"/>
      <c r="Y18" s="36"/>
      <c r="Z18" s="13"/>
      <c r="AA18" s="13"/>
      <c r="AH18" s="146"/>
      <c r="AI18" s="167"/>
      <c r="AJ18" s="174" t="str">
        <f>IF(F17="",IF(G18="","",G18),AI17-AI19)</f>
        <v/>
      </c>
    </row>
    <row r="19" spans="2:36" ht="6.6" customHeight="1" x14ac:dyDescent="0.2">
      <c r="B19" s="136"/>
      <c r="C19" s="134"/>
      <c r="E19" s="171" t="str">
        <f>IF(AI19="",AH19,CONCATENATE(AH19," (",FIXED(AI19,2),")"))</f>
        <v>Z19</v>
      </c>
      <c r="F19" s="169"/>
      <c r="G19" s="170"/>
      <c r="H19" s="13"/>
      <c r="I19" s="36"/>
      <c r="J19" s="36"/>
      <c r="K19" s="36"/>
      <c r="L19" s="36"/>
      <c r="M19" s="36"/>
      <c r="N19" s="36"/>
      <c r="O19" s="36"/>
      <c r="P19" s="36"/>
      <c r="Q19" s="36"/>
      <c r="R19" s="36"/>
      <c r="S19" s="36"/>
      <c r="T19" s="36"/>
      <c r="U19" s="36"/>
      <c r="V19" s="36"/>
      <c r="W19" s="36"/>
      <c r="X19" s="36"/>
      <c r="Y19" s="36"/>
      <c r="Z19" s="13"/>
      <c r="AA19" s="13"/>
      <c r="AH19" s="145" t="str">
        <f>General!G91</f>
        <v>Z19</v>
      </c>
      <c r="AI19" s="163" t="str">
        <f>IF(F19="",IF(G20="","",G20+AI21),F19)</f>
        <v/>
      </c>
      <c r="AJ19" s="175"/>
    </row>
    <row r="20" spans="2:36" ht="6.6" customHeight="1" x14ac:dyDescent="0.2">
      <c r="B20" s="136"/>
      <c r="C20" s="135"/>
      <c r="E20" s="172"/>
      <c r="F20" s="170"/>
      <c r="G20" s="169"/>
      <c r="H20" s="13"/>
      <c r="I20" s="36"/>
      <c r="J20" s="36"/>
      <c r="K20" s="36"/>
      <c r="L20" s="36"/>
      <c r="M20" s="36"/>
      <c r="N20" s="36"/>
      <c r="O20" s="36"/>
      <c r="P20" s="36"/>
      <c r="Q20" s="36"/>
      <c r="R20" s="36"/>
      <c r="S20" s="36"/>
      <c r="T20" s="36"/>
      <c r="U20" s="36"/>
      <c r="V20" s="36"/>
      <c r="W20" s="36"/>
      <c r="X20" s="36"/>
      <c r="Y20" s="36"/>
      <c r="Z20" s="13"/>
      <c r="AA20" s="13"/>
      <c r="AH20" s="145"/>
      <c r="AI20" s="167"/>
      <c r="AJ20" s="174" t="str">
        <f>IF(F19="",IF(G20="","",G20),AI19-AI21)</f>
        <v/>
      </c>
    </row>
    <row r="21" spans="2:36" ht="6.6" customHeight="1" x14ac:dyDescent="0.2">
      <c r="B21" s="136"/>
      <c r="C21" s="134"/>
      <c r="E21" s="171" t="str">
        <f>IF(AI21="",AH21,CONCATENATE(AH21," (",FIXED(AI21,2),")"))</f>
        <v>Z18</v>
      </c>
      <c r="F21" s="169"/>
      <c r="G21" s="170"/>
      <c r="H21" s="13"/>
      <c r="I21" s="36"/>
      <c r="J21" s="36"/>
      <c r="K21" s="36"/>
      <c r="L21" s="36"/>
      <c r="M21" s="36"/>
      <c r="N21" s="36"/>
      <c r="O21" s="36"/>
      <c r="P21" s="36"/>
      <c r="Q21" s="36"/>
      <c r="R21" s="36"/>
      <c r="S21" s="36"/>
      <c r="T21" s="36"/>
      <c r="U21" s="36"/>
      <c r="V21" s="36"/>
      <c r="W21" s="36"/>
      <c r="X21" s="36"/>
      <c r="Y21" s="36"/>
      <c r="Z21" s="13"/>
      <c r="AA21" s="13"/>
      <c r="AH21" s="145" t="str">
        <f>General!G90</f>
        <v>Z18</v>
      </c>
      <c r="AI21" s="163" t="str">
        <f>IF(F21="",IF(G22="","",G22+AI23),F21)</f>
        <v/>
      </c>
      <c r="AJ21" s="175"/>
    </row>
    <row r="22" spans="2:36" ht="6.6" customHeight="1" x14ac:dyDescent="0.2">
      <c r="B22" s="123"/>
      <c r="C22" s="137"/>
      <c r="E22" s="172"/>
      <c r="F22" s="170"/>
      <c r="G22" s="169"/>
      <c r="H22" s="13"/>
      <c r="I22" s="36"/>
      <c r="J22" s="36"/>
      <c r="K22" s="36"/>
      <c r="L22" s="36"/>
      <c r="M22" s="36"/>
      <c r="N22" s="36"/>
      <c r="O22" s="36"/>
      <c r="P22" s="36"/>
      <c r="Q22" s="36"/>
      <c r="R22" s="36"/>
      <c r="S22" s="36"/>
      <c r="T22" s="36"/>
      <c r="U22" s="36"/>
      <c r="V22" s="36"/>
      <c r="W22" s="36"/>
      <c r="X22" s="36"/>
      <c r="Y22" s="36"/>
      <c r="Z22" s="13"/>
      <c r="AA22" s="13"/>
      <c r="AH22" s="146"/>
      <c r="AI22" s="167"/>
      <c r="AJ22" s="174" t="str">
        <f>IF(F21="",IF(G22="","",G22),AI21-AI23)</f>
        <v/>
      </c>
    </row>
    <row r="23" spans="2:36" ht="6.6" customHeight="1" x14ac:dyDescent="0.2">
      <c r="B23" s="142" t="s">
        <v>166</v>
      </c>
      <c r="C23" s="138"/>
      <c r="E23" s="171" t="str">
        <f>IF(AI23="",AH23,CONCATENATE(AH23," (",FIXED(AI23,2),")"))</f>
        <v>Z17</v>
      </c>
      <c r="F23" s="169"/>
      <c r="G23" s="170"/>
      <c r="H23" s="13"/>
      <c r="I23" s="36"/>
      <c r="J23" s="36"/>
      <c r="K23" s="36"/>
      <c r="L23" s="36"/>
      <c r="M23" s="36"/>
      <c r="N23" s="36"/>
      <c r="O23" s="36"/>
      <c r="P23" s="36"/>
      <c r="Q23" s="36"/>
      <c r="R23" s="36"/>
      <c r="S23" s="36"/>
      <c r="T23" s="36"/>
      <c r="U23" s="36"/>
      <c r="V23" s="36"/>
      <c r="W23" s="36"/>
      <c r="X23" s="36"/>
      <c r="Y23" s="36"/>
      <c r="Z23" s="13"/>
      <c r="AA23" s="13"/>
      <c r="AH23" s="145" t="str">
        <f>General!G89</f>
        <v>Z17</v>
      </c>
      <c r="AI23" s="163" t="str">
        <f>IF(F23="",IF(G24="","",G24+AI25),F23)</f>
        <v/>
      </c>
      <c r="AJ23" s="175"/>
    </row>
    <row r="24" spans="2:36" ht="6.6" customHeight="1" x14ac:dyDescent="0.2">
      <c r="B24" s="143"/>
      <c r="C24" s="139"/>
      <c r="E24" s="172"/>
      <c r="F24" s="170"/>
      <c r="G24" s="169"/>
      <c r="H24" s="13"/>
      <c r="I24" s="36"/>
      <c r="J24" s="36"/>
      <c r="K24" s="36"/>
      <c r="L24" s="36"/>
      <c r="M24" s="36"/>
      <c r="N24" s="36"/>
      <c r="O24" s="36"/>
      <c r="P24" s="36"/>
      <c r="Q24" s="36"/>
      <c r="R24" s="36"/>
      <c r="S24" s="36"/>
      <c r="T24" s="36"/>
      <c r="U24" s="36"/>
      <c r="V24" s="36"/>
      <c r="W24" s="36"/>
      <c r="X24" s="36"/>
      <c r="Y24" s="36"/>
      <c r="Z24" s="13"/>
      <c r="AA24" s="13"/>
      <c r="AH24" s="145"/>
      <c r="AI24" s="167"/>
      <c r="AJ24" s="174" t="str">
        <f>IF(F23="",IF(G24="","",G24),AI23-AI25)</f>
        <v/>
      </c>
    </row>
    <row r="25" spans="2:36" ht="6.6" customHeight="1" x14ac:dyDescent="0.2">
      <c r="B25" s="141" t="s">
        <v>167</v>
      </c>
      <c r="C25" s="140" t="s">
        <v>322</v>
      </c>
      <c r="E25" s="171" t="str">
        <f>IF(AI25="",AH25,CONCATENATE(AH25," (",FIXED(AI25,2),")"))</f>
        <v>Z16</v>
      </c>
      <c r="F25" s="169"/>
      <c r="G25" s="170"/>
      <c r="H25" s="13"/>
      <c r="I25" s="36"/>
      <c r="J25" s="36"/>
      <c r="K25" s="36"/>
      <c r="L25" s="36"/>
      <c r="M25" s="36"/>
      <c r="N25" s="36"/>
      <c r="O25" s="36"/>
      <c r="P25" s="36"/>
      <c r="Q25" s="36"/>
      <c r="R25" s="36"/>
      <c r="S25" s="36"/>
      <c r="T25" s="36"/>
      <c r="U25" s="36"/>
      <c r="V25" s="36"/>
      <c r="W25" s="36"/>
      <c r="X25" s="36"/>
      <c r="Y25" s="36"/>
      <c r="Z25" s="13"/>
      <c r="AA25" s="13"/>
      <c r="AH25" s="145" t="str">
        <f>General!G88</f>
        <v>Z16</v>
      </c>
      <c r="AI25" s="163" t="str">
        <f>IF(F25="",IF(G26="","",G26+AI27),F25)</f>
        <v/>
      </c>
      <c r="AJ25" s="175"/>
    </row>
    <row r="26" spans="2:36" ht="6.6" customHeight="1" x14ac:dyDescent="0.2">
      <c r="B26" s="136"/>
      <c r="C26" s="135"/>
      <c r="E26" s="172"/>
      <c r="F26" s="170"/>
      <c r="G26" s="169"/>
      <c r="H26" s="13"/>
      <c r="I26" s="36"/>
      <c r="J26" s="36"/>
      <c r="K26" s="36"/>
      <c r="L26" s="36"/>
      <c r="M26" s="36"/>
      <c r="N26" s="36"/>
      <c r="O26" s="36"/>
      <c r="P26" s="36"/>
      <c r="Q26" s="36"/>
      <c r="R26" s="36"/>
      <c r="S26" s="36"/>
      <c r="T26" s="36"/>
      <c r="U26" s="36"/>
      <c r="V26" s="36"/>
      <c r="W26" s="36"/>
      <c r="X26" s="36"/>
      <c r="Y26" s="36"/>
      <c r="Z26" s="13"/>
      <c r="AA26" s="13"/>
      <c r="AH26" s="146"/>
      <c r="AI26" s="167"/>
      <c r="AJ26" s="174" t="str">
        <f>IF(F25="",IF(G26="","",G26),AI25-AI27)</f>
        <v/>
      </c>
    </row>
    <row r="27" spans="2:36" ht="6.6" customHeight="1" x14ac:dyDescent="0.2">
      <c r="B27" s="136" t="s">
        <v>168</v>
      </c>
      <c r="C27" s="134" t="s">
        <v>332</v>
      </c>
      <c r="E27" s="171" t="str">
        <f>IF(AI27="",AH27,CONCATENATE(AH27," (",FIXED(AI27,2),")"))</f>
        <v>Z15</v>
      </c>
      <c r="F27" s="169"/>
      <c r="G27" s="170"/>
      <c r="H27" s="13"/>
      <c r="I27" s="36"/>
      <c r="J27" s="36"/>
      <c r="K27" s="36"/>
      <c r="L27" s="36"/>
      <c r="M27" s="36"/>
      <c r="N27" s="36"/>
      <c r="O27" s="36"/>
      <c r="P27" s="36"/>
      <c r="Q27" s="36"/>
      <c r="R27" s="36"/>
      <c r="S27" s="36"/>
      <c r="T27" s="36"/>
      <c r="U27" s="36"/>
      <c r="V27" s="36"/>
      <c r="W27" s="36"/>
      <c r="X27" s="36"/>
      <c r="Y27" s="36"/>
      <c r="Z27" s="13"/>
      <c r="AA27" s="13"/>
      <c r="AH27" s="145" t="str">
        <f>General!G87</f>
        <v>Z15</v>
      </c>
      <c r="AI27" s="163" t="str">
        <f>IF(F27="",IF(G28="","",G28+AI29),F27)</f>
        <v/>
      </c>
      <c r="AJ27" s="175"/>
    </row>
    <row r="28" spans="2:36" ht="6.6" customHeight="1" x14ac:dyDescent="0.2">
      <c r="B28" s="136"/>
      <c r="C28" s="135"/>
      <c r="E28" s="172"/>
      <c r="F28" s="170"/>
      <c r="G28" s="169"/>
      <c r="H28" s="13"/>
      <c r="I28" s="36"/>
      <c r="J28" s="36"/>
      <c r="K28" s="36"/>
      <c r="L28" s="36"/>
      <c r="M28" s="36"/>
      <c r="N28" s="36"/>
      <c r="O28" s="36"/>
      <c r="P28" s="36"/>
      <c r="Q28" s="36"/>
      <c r="R28" s="36"/>
      <c r="S28" s="36"/>
      <c r="T28" s="36"/>
      <c r="U28" s="36"/>
      <c r="V28" s="36"/>
      <c r="W28" s="36"/>
      <c r="X28" s="36"/>
      <c r="Y28" s="36"/>
      <c r="Z28" s="13"/>
      <c r="AA28" s="13"/>
      <c r="AH28" s="145"/>
      <c r="AI28" s="167"/>
      <c r="AJ28" s="174" t="str">
        <f>IF(F27="",IF(G28="","",G28),AI27-AI29)</f>
        <v/>
      </c>
    </row>
    <row r="29" spans="2:36" ht="6.6" customHeight="1" x14ac:dyDescent="0.2">
      <c r="B29" s="136" t="s">
        <v>169</v>
      </c>
      <c r="C29" s="134" t="s">
        <v>326</v>
      </c>
      <c r="E29" s="171" t="str">
        <f>IF(AI29="",AH29,CONCATENATE(AH29," (",FIXED(AI29,2),")"))</f>
        <v>Z14</v>
      </c>
      <c r="F29" s="169"/>
      <c r="G29" s="170"/>
      <c r="H29" s="13"/>
      <c r="I29" s="36"/>
      <c r="J29" s="36"/>
      <c r="K29" s="36"/>
      <c r="L29" s="36"/>
      <c r="M29" s="36"/>
      <c r="N29" s="36"/>
      <c r="O29" s="36"/>
      <c r="P29" s="36"/>
      <c r="Q29" s="36"/>
      <c r="R29" s="36"/>
      <c r="S29" s="36"/>
      <c r="T29" s="36"/>
      <c r="U29" s="36"/>
      <c r="V29" s="36"/>
      <c r="W29" s="36"/>
      <c r="X29" s="36"/>
      <c r="Y29" s="36"/>
      <c r="Z29" s="13"/>
      <c r="AA29" s="13"/>
      <c r="AH29" s="145" t="str">
        <f>General!G86</f>
        <v>Z14</v>
      </c>
      <c r="AI29" s="163" t="str">
        <f>IF(F29="",IF(G30="","",G30+AI31),F29)</f>
        <v/>
      </c>
      <c r="AJ29" s="175"/>
    </row>
    <row r="30" spans="2:36" ht="6.6" customHeight="1" x14ac:dyDescent="0.2">
      <c r="B30" s="136"/>
      <c r="C30" s="135"/>
      <c r="E30" s="172"/>
      <c r="F30" s="170"/>
      <c r="G30" s="169"/>
      <c r="H30" s="13"/>
      <c r="I30" s="36"/>
      <c r="J30" s="36"/>
      <c r="K30" s="36"/>
      <c r="L30" s="36"/>
      <c r="M30" s="36"/>
      <c r="N30" s="36"/>
      <c r="O30" s="36"/>
      <c r="P30" s="36"/>
      <c r="Q30" s="36"/>
      <c r="R30" s="36"/>
      <c r="S30" s="36"/>
      <c r="T30" s="36"/>
      <c r="U30" s="36"/>
      <c r="V30" s="36"/>
      <c r="W30" s="36"/>
      <c r="X30" s="36"/>
      <c r="Y30" s="36"/>
      <c r="Z30" s="13"/>
      <c r="AA30" s="13"/>
      <c r="AH30" s="146"/>
      <c r="AI30" s="167"/>
      <c r="AJ30" s="174" t="str">
        <f>IF(F29="",IF(G30="","",G30),AI29-AI31)</f>
        <v/>
      </c>
    </row>
    <row r="31" spans="2:36" ht="6.6" customHeight="1" x14ac:dyDescent="0.2">
      <c r="B31" s="136"/>
      <c r="C31" s="134"/>
      <c r="E31" s="171" t="str">
        <f>IF(AI31="",AH31,CONCATENATE(AH31," (",FIXED(AI31,2),")"))</f>
        <v>Z13</v>
      </c>
      <c r="F31" s="168"/>
      <c r="G31" s="170"/>
      <c r="H31" s="13"/>
      <c r="I31" s="36"/>
      <c r="J31" s="36"/>
      <c r="K31" s="36"/>
      <c r="L31" s="36"/>
      <c r="M31" s="36"/>
      <c r="N31" s="36"/>
      <c r="O31" s="36"/>
      <c r="P31" s="36"/>
      <c r="Q31" s="36"/>
      <c r="R31" s="36"/>
      <c r="S31" s="36"/>
      <c r="T31" s="36"/>
      <c r="U31" s="36"/>
      <c r="V31" s="36"/>
      <c r="W31" s="36"/>
      <c r="X31" s="36"/>
      <c r="Y31" s="36"/>
      <c r="Z31" s="13"/>
      <c r="AA31" s="13"/>
      <c r="AH31" s="145" t="str">
        <f>General!G85</f>
        <v>Z13</v>
      </c>
      <c r="AI31" s="163" t="str">
        <f>IF(F31="",IF(G32="","",G32+AI33),F31)</f>
        <v/>
      </c>
      <c r="AJ31" s="175"/>
    </row>
    <row r="32" spans="2:36" ht="6.6" customHeight="1" x14ac:dyDescent="0.2">
      <c r="B32" s="136"/>
      <c r="C32" s="135"/>
      <c r="E32" s="172"/>
      <c r="F32" s="168"/>
      <c r="G32" s="169"/>
      <c r="H32" s="13"/>
      <c r="I32" s="36"/>
      <c r="J32" s="36"/>
      <c r="K32" s="36"/>
      <c r="L32" s="36"/>
      <c r="M32" s="36"/>
      <c r="N32" s="36"/>
      <c r="O32" s="36"/>
      <c r="P32" s="36"/>
      <c r="Q32" s="36"/>
      <c r="R32" s="36"/>
      <c r="S32" s="36"/>
      <c r="T32" s="36"/>
      <c r="U32" s="36"/>
      <c r="V32" s="36"/>
      <c r="W32" s="36"/>
      <c r="X32" s="36"/>
      <c r="Y32" s="36"/>
      <c r="Z32" s="13"/>
      <c r="AA32" s="13"/>
      <c r="AH32" s="145"/>
      <c r="AI32" s="167"/>
      <c r="AJ32" s="174" t="str">
        <f>IF(F31="",IF(G32="","",G32),AI31-AI33)</f>
        <v/>
      </c>
    </row>
    <row r="33" spans="2:36" ht="6.6" customHeight="1" x14ac:dyDescent="0.2">
      <c r="B33" s="136"/>
      <c r="C33" s="134"/>
      <c r="E33" s="171" t="str">
        <f>IF(AI33="",AH33,CONCATENATE(AH33," (",FIXED(AI33,2),")"))</f>
        <v>Z12</v>
      </c>
      <c r="F33" s="168"/>
      <c r="G33" s="170"/>
      <c r="H33" s="13"/>
      <c r="I33" s="36"/>
      <c r="J33" s="36"/>
      <c r="K33" s="36"/>
      <c r="L33" s="36"/>
      <c r="M33" s="36"/>
      <c r="N33" s="36"/>
      <c r="O33" s="36"/>
      <c r="P33" s="36"/>
      <c r="Q33" s="36"/>
      <c r="R33" s="36"/>
      <c r="S33" s="36"/>
      <c r="T33" s="36"/>
      <c r="U33" s="36"/>
      <c r="V33" s="36"/>
      <c r="W33" s="36"/>
      <c r="X33" s="36"/>
      <c r="Y33" s="36"/>
      <c r="Z33" s="13"/>
      <c r="AA33" s="13"/>
      <c r="AH33" s="145" t="str">
        <f>General!G84</f>
        <v>Z12</v>
      </c>
      <c r="AI33" s="163" t="str">
        <f>IF(F33="",IF(G34="","",G34+AI35),F33)</f>
        <v/>
      </c>
      <c r="AJ33" s="175"/>
    </row>
    <row r="34" spans="2:36" ht="6.6" customHeight="1" x14ac:dyDescent="0.2">
      <c r="B34" s="136"/>
      <c r="C34" s="135"/>
      <c r="E34" s="172"/>
      <c r="F34" s="168"/>
      <c r="G34" s="169"/>
      <c r="H34" s="13"/>
      <c r="I34" s="36"/>
      <c r="J34" s="36"/>
      <c r="K34" s="36"/>
      <c r="L34" s="36"/>
      <c r="M34" s="36"/>
      <c r="N34" s="36"/>
      <c r="O34" s="36"/>
      <c r="P34" s="36"/>
      <c r="Q34" s="36"/>
      <c r="R34" s="36"/>
      <c r="S34" s="36"/>
      <c r="T34" s="36"/>
      <c r="U34" s="36"/>
      <c r="V34" s="36"/>
      <c r="W34" s="36"/>
      <c r="X34" s="36"/>
      <c r="Y34" s="36"/>
      <c r="Z34" s="13"/>
      <c r="AA34" s="13"/>
      <c r="AH34" s="146"/>
      <c r="AI34" s="167"/>
      <c r="AJ34" s="174" t="str">
        <f>IF(F33="",IF(G34="","",G34),AI33-AI35)</f>
        <v/>
      </c>
    </row>
    <row r="35" spans="2:36" ht="6.6" customHeight="1" x14ac:dyDescent="0.2">
      <c r="B35" s="136"/>
      <c r="C35" s="134"/>
      <c r="E35" s="171" t="str">
        <f>IF(AI35="",AH35,CONCATENATE(AH35," (",FIXED(AI35,2),")"))</f>
        <v>Z11 (26.03)</v>
      </c>
      <c r="F35" s="168"/>
      <c r="G35" s="170"/>
      <c r="H35" s="13"/>
      <c r="I35" s="36"/>
      <c r="J35" s="36"/>
      <c r="K35" s="36"/>
      <c r="L35" s="36"/>
      <c r="M35" s="36"/>
      <c r="N35" s="36"/>
      <c r="O35" s="36"/>
      <c r="P35" s="36"/>
      <c r="Q35" s="36"/>
      <c r="R35" s="36"/>
      <c r="S35" s="36"/>
      <c r="T35" s="36"/>
      <c r="U35" s="36"/>
      <c r="V35" s="36"/>
      <c r="W35" s="36"/>
      <c r="X35" s="36"/>
      <c r="Y35" s="36"/>
      <c r="Z35" s="13"/>
      <c r="AA35" s="13"/>
      <c r="AH35" s="145" t="str">
        <f>General!G83</f>
        <v>Z11</v>
      </c>
      <c r="AI35" s="163">
        <f>IF(F35="",IF(G36="","",G36+AI37),F35)</f>
        <v>26.032082640000013</v>
      </c>
      <c r="AJ35" s="175"/>
    </row>
    <row r="36" spans="2:36" ht="6.6" customHeight="1" x14ac:dyDescent="0.2">
      <c r="B36" s="136"/>
      <c r="C36" s="135"/>
      <c r="E36" s="172"/>
      <c r="F36" s="168"/>
      <c r="G36" s="169">
        <v>4</v>
      </c>
      <c r="H36" s="13"/>
      <c r="I36" s="36"/>
      <c r="J36" s="36"/>
      <c r="K36" s="36"/>
      <c r="L36" s="36"/>
      <c r="M36" s="36"/>
      <c r="N36" s="36"/>
      <c r="O36" s="36"/>
      <c r="P36" s="36"/>
      <c r="Q36" s="36"/>
      <c r="R36" s="36"/>
      <c r="S36" s="36"/>
      <c r="T36" s="36"/>
      <c r="U36" s="36"/>
      <c r="V36" s="36"/>
      <c r="W36" s="36"/>
      <c r="X36" s="36"/>
      <c r="Y36" s="36"/>
      <c r="Z36" s="13"/>
      <c r="AA36" s="13"/>
      <c r="AH36" s="145"/>
      <c r="AI36" s="167"/>
      <c r="AJ36" s="174">
        <f>IF(F35="",IF(G36="","",G36),AI35-AI37)</f>
        <v>4</v>
      </c>
    </row>
    <row r="37" spans="2:36" ht="6.6" customHeight="1" x14ac:dyDescent="0.2">
      <c r="B37" s="136"/>
      <c r="C37" s="134"/>
      <c r="E37" s="171" t="str">
        <f>IF(AI37="",AH37,CONCATENATE(AH37," (",FIXED(AI37,2),")"))</f>
        <v>Z10 (22.03)</v>
      </c>
      <c r="F37" s="168"/>
      <c r="G37" s="170"/>
      <c r="H37" s="13"/>
      <c r="I37" s="36"/>
      <c r="J37" s="36"/>
      <c r="K37" s="36"/>
      <c r="L37" s="36"/>
      <c r="M37" s="36"/>
      <c r="N37" s="36"/>
      <c r="O37" s="36"/>
      <c r="P37" s="36"/>
      <c r="Q37" s="36"/>
      <c r="R37" s="36"/>
      <c r="S37" s="36"/>
      <c r="T37" s="36"/>
      <c r="U37" s="36"/>
      <c r="V37" s="36"/>
      <c r="W37" s="36"/>
      <c r="X37" s="36"/>
      <c r="Y37" s="36"/>
      <c r="Z37" s="13"/>
      <c r="AA37" s="13"/>
      <c r="AH37" s="145" t="str">
        <f>General!G82</f>
        <v>Z10</v>
      </c>
      <c r="AI37" s="163">
        <f>IF(F37="",IF(G38="","",G38+AI39),F37)</f>
        <v>22.032082640000013</v>
      </c>
      <c r="AJ37" s="175"/>
    </row>
    <row r="38" spans="2:36" ht="6.6" customHeight="1" x14ac:dyDescent="0.2">
      <c r="B38" s="136"/>
      <c r="C38" s="135"/>
      <c r="E38" s="172"/>
      <c r="F38" s="168"/>
      <c r="G38" s="169">
        <f>G40*0.9</f>
        <v>10.331213040000003</v>
      </c>
      <c r="H38" s="13"/>
      <c r="I38" s="36"/>
      <c r="J38" s="37"/>
      <c r="K38" s="37"/>
      <c r="L38" s="37"/>
      <c r="M38" s="37"/>
      <c r="N38" s="37"/>
      <c r="O38" s="37"/>
      <c r="P38" s="37"/>
      <c r="Q38" s="36"/>
      <c r="R38" s="37"/>
      <c r="S38" s="37"/>
      <c r="T38" s="37"/>
      <c r="U38" s="37"/>
      <c r="V38" s="37"/>
      <c r="W38" s="37"/>
      <c r="X38" s="37"/>
      <c r="Y38" s="37"/>
      <c r="Z38" s="14"/>
      <c r="AA38" s="14"/>
      <c r="AH38" s="146"/>
      <c r="AI38" s="167"/>
      <c r="AJ38" s="174">
        <f>IF(F37="",IF(G38="","",G38),AI37-AI39)</f>
        <v>10.331213040000003</v>
      </c>
    </row>
    <row r="39" spans="2:36" ht="6.6" customHeight="1" x14ac:dyDescent="0.2">
      <c r="B39" s="136"/>
      <c r="C39" s="134"/>
      <c r="E39" s="171" t="str">
        <f>IF(AI39="",AH39,CONCATENATE(AH39," (",FIXED(AI39,2),")"))</f>
        <v>Z9 (11.70)</v>
      </c>
      <c r="F39" s="169"/>
      <c r="G39" s="170"/>
      <c r="H39" s="13"/>
      <c r="I39" s="36"/>
      <c r="J39" s="36"/>
      <c r="K39" s="36"/>
      <c r="L39" s="36"/>
      <c r="M39" s="36"/>
      <c r="N39" s="36"/>
      <c r="O39" s="36"/>
      <c r="P39" s="36"/>
      <c r="Q39" s="36"/>
      <c r="R39" s="36"/>
      <c r="S39" s="36"/>
      <c r="T39" s="36"/>
      <c r="U39" s="36"/>
      <c r="V39" s="36"/>
      <c r="W39" s="36"/>
      <c r="X39" s="36"/>
      <c r="Y39" s="36"/>
      <c r="Z39" s="13"/>
      <c r="AA39" s="13"/>
      <c r="AH39" s="145" t="str">
        <f>General!G81</f>
        <v>Z9</v>
      </c>
      <c r="AI39" s="163">
        <f>IF(F39="",IF(G40="","",G40+AI41),F39)</f>
        <v>11.70086960000001</v>
      </c>
      <c r="AJ39" s="175"/>
    </row>
    <row r="40" spans="2:36" ht="6.6" customHeight="1" x14ac:dyDescent="0.2">
      <c r="B40" s="136"/>
      <c r="C40" s="135"/>
      <c r="E40" s="172"/>
      <c r="F40" s="170"/>
      <c r="G40" s="169">
        <f>G42*0.9</f>
        <v>11.479125600000003</v>
      </c>
      <c r="H40" s="13"/>
      <c r="I40" s="36"/>
      <c r="J40" s="36"/>
      <c r="K40" s="36"/>
      <c r="L40" s="36"/>
      <c r="M40" s="36"/>
      <c r="N40" s="36"/>
      <c r="O40" s="36"/>
      <c r="P40" s="36"/>
      <c r="Q40" s="36"/>
      <c r="R40" s="36"/>
      <c r="S40" s="36"/>
      <c r="T40" s="36"/>
      <c r="U40" s="36"/>
      <c r="V40" s="36"/>
      <c r="W40" s="36"/>
      <c r="X40" s="36"/>
      <c r="Y40" s="36"/>
      <c r="Z40" s="13"/>
      <c r="AA40" s="13"/>
      <c r="AH40" s="145"/>
      <c r="AI40" s="167"/>
      <c r="AJ40" s="174">
        <f>IF(F39="",IF(G40="","",G40),AI39-AI41)</f>
        <v>11.479125600000003</v>
      </c>
    </row>
    <row r="41" spans="2:36" ht="6.6" customHeight="1" x14ac:dyDescent="0.2">
      <c r="B41" s="136"/>
      <c r="C41" s="134"/>
      <c r="E41" s="171" t="str">
        <f>IF(AI41="",AH41,CONCATENATE(AH41," (",FIXED(AI41,2),")"))</f>
        <v>Z8 (0.22)</v>
      </c>
      <c r="F41" s="169"/>
      <c r="G41" s="170"/>
      <c r="H41" s="13"/>
      <c r="I41" s="36"/>
      <c r="J41" s="36"/>
      <c r="K41" s="36"/>
      <c r="L41" s="36"/>
      <c r="M41" s="36"/>
      <c r="N41" s="36"/>
      <c r="O41" s="36"/>
      <c r="P41" s="36"/>
      <c r="Q41" s="36"/>
      <c r="R41" s="36"/>
      <c r="S41" s="36"/>
      <c r="T41" s="36"/>
      <c r="U41" s="36"/>
      <c r="V41" s="36"/>
      <c r="W41" s="36"/>
      <c r="X41" s="36"/>
      <c r="Y41" s="36"/>
      <c r="Z41" s="13"/>
      <c r="AA41" s="13"/>
      <c r="AH41" s="145" t="str">
        <f>General!G80</f>
        <v>Z8</v>
      </c>
      <c r="AI41" s="163">
        <f>IF(F41="",IF(G42="","",G42+AI43),F41)</f>
        <v>0.22174400000000638</v>
      </c>
      <c r="AJ41" s="175"/>
    </row>
    <row r="42" spans="2:36" ht="6.6" customHeight="1" x14ac:dyDescent="0.2">
      <c r="B42" s="136"/>
      <c r="C42" s="135"/>
      <c r="E42" s="172"/>
      <c r="F42" s="170"/>
      <c r="G42" s="169">
        <f>G44*0.9</f>
        <v>12.754584000000003</v>
      </c>
      <c r="H42" s="13"/>
      <c r="I42" s="36"/>
      <c r="J42" s="36"/>
      <c r="K42" s="36"/>
      <c r="L42" s="36"/>
      <c r="M42" s="37"/>
      <c r="N42" s="36"/>
      <c r="O42" s="36"/>
      <c r="P42" s="36"/>
      <c r="Q42" s="36"/>
      <c r="R42" s="36"/>
      <c r="S42" s="36"/>
      <c r="T42" s="36"/>
      <c r="U42" s="36"/>
      <c r="V42" s="36"/>
      <c r="W42" s="36"/>
      <c r="X42" s="36"/>
      <c r="Y42" s="36"/>
      <c r="Z42" s="13"/>
      <c r="AA42" s="13"/>
      <c r="AH42" s="146"/>
      <c r="AI42" s="167"/>
      <c r="AJ42" s="174">
        <f>IF(F41="",IF(G42="","",G42),AI41-AI43)</f>
        <v>12.754584000000003</v>
      </c>
    </row>
    <row r="43" spans="2:36" ht="6.6" customHeight="1" x14ac:dyDescent="0.2">
      <c r="B43" s="136"/>
      <c r="C43" s="134"/>
      <c r="E43" s="171" t="str">
        <f>IF(AI43="",AH43,CONCATENATE(AH43," (",FIXED(AI43,2),")"))</f>
        <v>Z7 (-12.53)</v>
      </c>
      <c r="F43" s="169"/>
      <c r="G43" s="170"/>
      <c r="H43" s="13"/>
      <c r="I43" s="36"/>
      <c r="J43" s="36"/>
      <c r="K43" s="36"/>
      <c r="L43" s="36"/>
      <c r="M43" s="37"/>
      <c r="N43" s="36"/>
      <c r="O43" s="36"/>
      <c r="P43" s="36"/>
      <c r="Q43" s="36"/>
      <c r="R43" s="36"/>
      <c r="S43" s="36"/>
      <c r="T43" s="36"/>
      <c r="U43" s="36"/>
      <c r="V43" s="36"/>
      <c r="W43" s="36"/>
      <c r="X43" s="36"/>
      <c r="Y43" s="36"/>
      <c r="Z43" s="13"/>
      <c r="AA43" s="13"/>
      <c r="AH43" s="145" t="str">
        <f>General!G79</f>
        <v>Z7</v>
      </c>
      <c r="AI43" s="163">
        <f>IF(F43="",IF(G44="","",G44+AI45),F43)</f>
        <v>-12.532839999999997</v>
      </c>
      <c r="AJ43" s="175"/>
    </row>
    <row r="44" spans="2:36" ht="6.6" customHeight="1" x14ac:dyDescent="0.2">
      <c r="B44" s="136"/>
      <c r="C44" s="135"/>
      <c r="E44" s="172"/>
      <c r="F44" s="170"/>
      <c r="G44" s="169">
        <f>G46*0.9</f>
        <v>14.171760000000003</v>
      </c>
      <c r="H44" s="13"/>
      <c r="I44" s="36"/>
      <c r="J44" s="36"/>
      <c r="K44" s="36"/>
      <c r="L44" s="36"/>
      <c r="M44" s="37"/>
      <c r="N44" s="36"/>
      <c r="O44" s="36"/>
      <c r="P44" s="36"/>
      <c r="Q44" s="36"/>
      <c r="R44" s="36"/>
      <c r="S44" s="36"/>
      <c r="T44" s="36"/>
      <c r="U44" s="36"/>
      <c r="V44" s="36"/>
      <c r="W44" s="36"/>
      <c r="X44" s="36"/>
      <c r="Y44" s="36"/>
      <c r="Z44" s="13"/>
      <c r="AA44" s="13"/>
      <c r="AH44" s="145"/>
      <c r="AI44" s="167"/>
      <c r="AJ44" s="174">
        <f>IF(F43="",IF(G44="","",G44),AI43-AI45)</f>
        <v>14.171760000000003</v>
      </c>
    </row>
    <row r="45" spans="2:36" ht="6.6" customHeight="1" x14ac:dyDescent="0.2">
      <c r="B45" s="136"/>
      <c r="C45" s="134"/>
      <c r="E45" s="171" t="str">
        <f>IF(AI45="",AH45,CONCATENATE(AH45," (",FIXED(AI45,2),")"))</f>
        <v>Z6 (-26.70)</v>
      </c>
      <c r="F45" s="169"/>
      <c r="G45" s="170"/>
      <c r="H45" s="13"/>
      <c r="I45" s="36"/>
      <c r="J45" s="36"/>
      <c r="K45" s="36"/>
      <c r="L45" s="36"/>
      <c r="M45" s="36"/>
      <c r="N45" s="36"/>
      <c r="O45" s="36"/>
      <c r="P45" s="36"/>
      <c r="Q45" s="36"/>
      <c r="R45" s="36"/>
      <c r="S45" s="36"/>
      <c r="T45" s="36"/>
      <c r="U45" s="36"/>
      <c r="V45" s="36"/>
      <c r="W45" s="36"/>
      <c r="X45" s="36"/>
      <c r="Y45" s="36"/>
      <c r="Z45" s="13"/>
      <c r="AA45" s="13"/>
      <c r="AH45" s="145" t="str">
        <f>General!G78</f>
        <v>Z6</v>
      </c>
      <c r="AI45" s="163">
        <f>IF(F45="",IF(G46="","",G46+AI47),F45)</f>
        <v>-26.704599999999999</v>
      </c>
      <c r="AJ45" s="175"/>
    </row>
    <row r="46" spans="2:36" ht="6.6" customHeight="1" x14ac:dyDescent="0.2">
      <c r="B46" s="136"/>
      <c r="C46" s="135"/>
      <c r="E46" s="172"/>
      <c r="F46" s="170"/>
      <c r="G46" s="169">
        <f>G48*0.9</f>
        <v>15.746400000000003</v>
      </c>
      <c r="H46" s="13"/>
      <c r="I46" s="36"/>
      <c r="J46" s="36"/>
      <c r="K46" s="36"/>
      <c r="L46" s="36"/>
      <c r="M46" s="36"/>
      <c r="N46" s="36"/>
      <c r="O46" s="36"/>
      <c r="P46" s="36"/>
      <c r="Q46" s="36"/>
      <c r="R46" s="36"/>
      <c r="S46" s="36"/>
      <c r="T46" s="36"/>
      <c r="U46" s="36"/>
      <c r="V46" s="36"/>
      <c r="W46" s="36"/>
      <c r="X46" s="36"/>
      <c r="Y46" s="36"/>
      <c r="Z46" s="13"/>
      <c r="AA46" s="13"/>
      <c r="AH46" s="146"/>
      <c r="AI46" s="167"/>
      <c r="AJ46" s="174">
        <f>IF(F45="",IF(G46="","",G46),AI45-AI47)</f>
        <v>15.746400000000003</v>
      </c>
    </row>
    <row r="47" spans="2:36" ht="6.6" customHeight="1" x14ac:dyDescent="0.2">
      <c r="B47" s="136"/>
      <c r="C47" s="134"/>
      <c r="E47" s="171" t="str">
        <f>IF(AI47="",AH47,CONCATENATE(AH47," (",FIXED(AI47,2),")"))</f>
        <v>Z5 (-42.45)</v>
      </c>
      <c r="F47" s="169"/>
      <c r="G47" s="170"/>
      <c r="H47" s="13"/>
      <c r="I47" s="36"/>
      <c r="J47" s="36"/>
      <c r="K47" s="36"/>
      <c r="L47" s="36"/>
      <c r="M47" s="36"/>
      <c r="N47" s="36"/>
      <c r="O47" s="36"/>
      <c r="P47" s="36"/>
      <c r="Q47" s="36"/>
      <c r="R47" s="36"/>
      <c r="S47" s="36"/>
      <c r="T47" s="36"/>
      <c r="U47" s="36"/>
      <c r="V47" s="36"/>
      <c r="W47" s="36"/>
      <c r="X47" s="36"/>
      <c r="Y47" s="36"/>
      <c r="Z47" s="13"/>
      <c r="AA47" s="13"/>
      <c r="AH47" s="145" t="str">
        <f>General!G77</f>
        <v>Z5</v>
      </c>
      <c r="AI47" s="163">
        <f>IF(F47="",IF(G48="","",G48+AI49),F47)</f>
        <v>-42.451000000000001</v>
      </c>
      <c r="AJ47" s="175"/>
    </row>
    <row r="48" spans="2:36" ht="6.6" customHeight="1" x14ac:dyDescent="0.2">
      <c r="B48" s="136"/>
      <c r="C48" s="135"/>
      <c r="E48" s="172"/>
      <c r="F48" s="170"/>
      <c r="G48" s="169">
        <f>G50*0.9</f>
        <v>17.496000000000002</v>
      </c>
      <c r="H48" s="13"/>
      <c r="I48" s="36"/>
      <c r="J48" s="36"/>
      <c r="K48" s="36"/>
      <c r="L48" s="36"/>
      <c r="M48" s="36"/>
      <c r="N48" s="36"/>
      <c r="O48" s="36"/>
      <c r="P48" s="36"/>
      <c r="Q48" s="36"/>
      <c r="R48" s="36"/>
      <c r="S48" s="36"/>
      <c r="T48" s="36"/>
      <c r="U48" s="36"/>
      <c r="V48" s="36"/>
      <c r="W48" s="36"/>
      <c r="X48" s="36"/>
      <c r="Y48" s="36"/>
      <c r="Z48" s="13"/>
      <c r="AA48" s="13"/>
      <c r="AH48" s="145"/>
      <c r="AI48" s="167"/>
      <c r="AJ48" s="174">
        <f>IF(F47="",IF(G48="","",G48),AI47-AI49)</f>
        <v>17.496000000000002</v>
      </c>
    </row>
    <row r="49" spans="2:56" ht="6.6" customHeight="1" x14ac:dyDescent="0.2">
      <c r="B49" s="136"/>
      <c r="C49" s="134"/>
      <c r="E49" s="171" t="str">
        <f>IF(AI49="",AH49,CONCATENATE(AH49," (",FIXED(AI49,2),")"))</f>
        <v>Z4 (-59.95)</v>
      </c>
      <c r="F49" s="168"/>
      <c r="G49" s="170"/>
      <c r="H49" s="13"/>
      <c r="I49" s="36"/>
      <c r="J49" s="36"/>
      <c r="K49" s="36"/>
      <c r="L49" s="36"/>
      <c r="M49" s="36"/>
      <c r="N49" s="36"/>
      <c r="O49" s="36"/>
      <c r="P49" s="36"/>
      <c r="Q49" s="36"/>
      <c r="R49" s="36"/>
      <c r="S49" s="36"/>
      <c r="T49" s="36"/>
      <c r="U49" s="36"/>
      <c r="V49" s="36"/>
      <c r="W49" s="36"/>
      <c r="X49" s="36"/>
      <c r="Y49" s="36"/>
      <c r="Z49" s="13"/>
      <c r="AA49" s="13"/>
      <c r="AH49" s="145" t="str">
        <f>General!G76</f>
        <v>Z4</v>
      </c>
      <c r="AI49" s="163">
        <f>IF(F49="",IF(G50="","",G50+AI51),F49)</f>
        <v>-59.947000000000003</v>
      </c>
      <c r="AJ49" s="175"/>
    </row>
    <row r="50" spans="2:56" ht="6.6" customHeight="1" x14ac:dyDescent="0.2">
      <c r="B50" s="136"/>
      <c r="C50" s="135"/>
      <c r="E50" s="172"/>
      <c r="F50" s="168"/>
      <c r="G50" s="169">
        <f>G52*0.9</f>
        <v>19.440000000000001</v>
      </c>
      <c r="H50" s="13"/>
      <c r="I50" s="36"/>
      <c r="J50" s="36"/>
      <c r="K50" s="36"/>
      <c r="L50" s="36"/>
      <c r="M50" s="36"/>
      <c r="N50" s="36"/>
      <c r="O50" s="36"/>
      <c r="P50" s="36"/>
      <c r="Q50" s="36"/>
      <c r="R50" s="36"/>
      <c r="S50" s="36"/>
      <c r="T50" s="36"/>
      <c r="U50" s="36"/>
      <c r="V50" s="36"/>
      <c r="W50" s="36"/>
      <c r="X50" s="36"/>
      <c r="Y50" s="36"/>
      <c r="Z50" s="13"/>
      <c r="AA50" s="13"/>
      <c r="AH50" s="146"/>
      <c r="AI50" s="167"/>
      <c r="AJ50" s="174">
        <f>IF(F49="",IF(G50="","",G50),AI49-AI51)</f>
        <v>19.440000000000001</v>
      </c>
    </row>
    <row r="51" spans="2:56" ht="6.6" customHeight="1" x14ac:dyDescent="0.2">
      <c r="B51" s="136"/>
      <c r="C51" s="134"/>
      <c r="E51" s="171" t="str">
        <f>IF(AI51="",AH51,CONCATENATE(AH51," (",FIXED(AI51,2),")"))</f>
        <v>Z3 (-79.39)</v>
      </c>
      <c r="F51" s="168"/>
      <c r="G51" s="170"/>
      <c r="H51" s="13"/>
      <c r="I51" s="36"/>
      <c r="J51" s="36"/>
      <c r="K51" s="36"/>
      <c r="L51" s="36"/>
      <c r="M51" s="36"/>
      <c r="N51" s="36"/>
      <c r="O51" s="36"/>
      <c r="P51" s="36"/>
      <c r="Q51" s="36"/>
      <c r="R51" s="36"/>
      <c r="S51" s="36"/>
      <c r="T51" s="36"/>
      <c r="U51" s="36"/>
      <c r="V51" s="36"/>
      <c r="W51" s="36"/>
      <c r="X51" s="36"/>
      <c r="Y51" s="36"/>
      <c r="Z51" s="13"/>
      <c r="AA51" s="13"/>
      <c r="AH51" s="145" t="str">
        <f>General!G75</f>
        <v>Z3</v>
      </c>
      <c r="AI51" s="163">
        <f>IF(F51="",IF(G52="","",G52+AI53),F51)</f>
        <v>-79.387</v>
      </c>
      <c r="AJ51" s="175"/>
    </row>
    <row r="52" spans="2:56" ht="6.6" customHeight="1" x14ac:dyDescent="0.2">
      <c r="B52" s="136"/>
      <c r="C52" s="135"/>
      <c r="E52" s="172"/>
      <c r="F52" s="168"/>
      <c r="G52" s="169">
        <f>G54*0.9</f>
        <v>21.6</v>
      </c>
      <c r="H52" s="13"/>
      <c r="I52" s="36"/>
      <c r="J52" s="36"/>
      <c r="K52" s="36"/>
      <c r="L52" s="36"/>
      <c r="M52" s="36"/>
      <c r="N52" s="36"/>
      <c r="O52" s="36"/>
      <c r="P52" s="36"/>
      <c r="Q52" s="36"/>
      <c r="R52" s="36"/>
      <c r="S52" s="36"/>
      <c r="T52" s="36"/>
      <c r="U52" s="36"/>
      <c r="V52" s="36"/>
      <c r="W52" s="36"/>
      <c r="X52" s="36"/>
      <c r="Y52" s="36"/>
      <c r="Z52" s="13"/>
      <c r="AA52" s="13"/>
      <c r="AH52" s="145"/>
      <c r="AI52" s="167"/>
      <c r="AJ52" s="174">
        <f>IF(F51="",IF(G52="","",G52),AI51-AI53)</f>
        <v>21.6</v>
      </c>
    </row>
    <row r="53" spans="2:56" ht="6.6" customHeight="1" x14ac:dyDescent="0.2">
      <c r="B53" s="136"/>
      <c r="C53" s="134"/>
      <c r="E53" s="171" t="str">
        <f>IF(AI53="",AH53,CONCATENATE(AH53," (",FIXED(AI53,2),")"))</f>
        <v>Z2 (-100.99)</v>
      </c>
      <c r="F53" s="168"/>
      <c r="G53" s="170"/>
      <c r="H53" s="13"/>
      <c r="I53" s="36"/>
      <c r="J53" s="36"/>
      <c r="K53" s="36"/>
      <c r="L53" s="36"/>
      <c r="M53" s="36"/>
      <c r="N53" s="36"/>
      <c r="O53" s="36"/>
      <c r="P53" s="36"/>
      <c r="Q53" s="36"/>
      <c r="R53" s="36"/>
      <c r="S53" s="36"/>
      <c r="T53" s="36"/>
      <c r="U53" s="36"/>
      <c r="V53" s="36"/>
      <c r="W53" s="36"/>
      <c r="X53" s="36"/>
      <c r="Y53" s="36"/>
      <c r="Z53" s="13"/>
      <c r="AA53" s="13"/>
      <c r="AH53" s="145" t="str">
        <f>General!G74</f>
        <v>Z2</v>
      </c>
      <c r="AI53" s="163">
        <f>IF(F53="",IF(G54="","",G54+AI55),F53)</f>
        <v>-100.98699999999999</v>
      </c>
      <c r="AJ53" s="175"/>
    </row>
    <row r="54" spans="2:56" ht="6.6" customHeight="1" x14ac:dyDescent="0.2">
      <c r="B54" s="136"/>
      <c r="C54" s="135"/>
      <c r="E54" s="172"/>
      <c r="F54" s="173"/>
      <c r="G54" s="169">
        <v>24</v>
      </c>
      <c r="H54" s="13"/>
      <c r="I54" s="36"/>
      <c r="J54" s="36"/>
      <c r="K54" s="36"/>
      <c r="L54" s="36"/>
      <c r="M54" s="36"/>
      <c r="N54" s="36"/>
      <c r="O54" s="36"/>
      <c r="P54" s="36"/>
      <c r="Q54" s="36"/>
      <c r="R54" s="36"/>
      <c r="S54" s="36"/>
      <c r="T54" s="36"/>
      <c r="U54" s="36"/>
      <c r="V54" s="36"/>
      <c r="W54" s="36"/>
      <c r="X54" s="36"/>
      <c r="Y54" s="36"/>
      <c r="Z54" s="13"/>
      <c r="AA54" s="13"/>
      <c r="AH54" s="146"/>
      <c r="AI54" s="167"/>
      <c r="AJ54" s="174">
        <f>IF(F53="",IF(G54="","",G54),AI53-AI55)</f>
        <v>24</v>
      </c>
    </row>
    <row r="55" spans="2:56" ht="6.6" customHeight="1" x14ac:dyDescent="0.2">
      <c r="B55" s="136"/>
      <c r="C55" s="134"/>
      <c r="E55" s="171" t="str">
        <f>IF(AI55="",AH55,CONCATENATE(AH55," (",FIXED(AI55,2),")"))</f>
        <v>Z1 (-124.99)</v>
      </c>
      <c r="F55" s="169"/>
      <c r="G55" s="170"/>
      <c r="H55" s="13"/>
      <c r="I55" s="36"/>
      <c r="J55" s="36"/>
      <c r="K55" s="36"/>
      <c r="L55" s="36"/>
      <c r="M55" s="36"/>
      <c r="N55" s="36"/>
      <c r="O55" s="36"/>
      <c r="P55" s="36"/>
      <c r="Q55" s="36"/>
      <c r="R55" s="36"/>
      <c r="S55" s="36"/>
      <c r="T55" s="36"/>
      <c r="U55" s="36"/>
      <c r="V55" s="36"/>
      <c r="W55" s="36"/>
      <c r="X55" s="36"/>
      <c r="Y55" s="36"/>
      <c r="Z55" s="13"/>
      <c r="AA55" s="13"/>
      <c r="AH55" s="145" t="str">
        <f>General!G73</f>
        <v>Z1</v>
      </c>
      <c r="AI55" s="163">
        <f>IF(F55="",IF(G56="","",G56+AI57),F55)</f>
        <v>-124.98699999999999</v>
      </c>
      <c r="AJ55" s="175"/>
    </row>
    <row r="56" spans="2:56" ht="6.6" customHeight="1" x14ac:dyDescent="0.2">
      <c r="B56" s="136"/>
      <c r="C56" s="135"/>
      <c r="E56" s="172"/>
      <c r="F56" s="170"/>
      <c r="G56" s="168">
        <v>4</v>
      </c>
      <c r="H56" s="13"/>
      <c r="I56" s="36"/>
      <c r="J56" s="36"/>
      <c r="K56" s="36"/>
      <c r="L56" s="36"/>
      <c r="M56" s="36"/>
      <c r="N56" s="36"/>
      <c r="O56" s="36"/>
      <c r="P56" s="36"/>
      <c r="Q56" s="36"/>
      <c r="R56" s="36"/>
      <c r="S56" s="36"/>
      <c r="T56" s="36"/>
      <c r="U56" s="36"/>
      <c r="V56" s="36"/>
      <c r="W56" s="36"/>
      <c r="X56" s="36"/>
      <c r="Y56" s="36"/>
      <c r="Z56" s="13"/>
      <c r="AA56" s="13"/>
      <c r="AH56" s="145"/>
      <c r="AI56" s="167"/>
      <c r="AJ56" s="174">
        <f>IF(F55="",IF(G56="","",G56),IF(G56="",AI55-AI57,G56))</f>
        <v>4</v>
      </c>
    </row>
    <row r="57" spans="2:56" ht="6.6" customHeight="1" x14ac:dyDescent="0.2">
      <c r="B57" s="136"/>
      <c r="C57" s="134"/>
      <c r="E57" s="154" t="str">
        <f>IF(AI57="",AH57,CONCATENATE(AH57," (",FIXED(AI57,2),")"))</f>
        <v>Btm (-128.99)</v>
      </c>
      <c r="F57" s="168">
        <f>-128.5-0.487</f>
        <v>-128.98699999999999</v>
      </c>
      <c r="G57" s="135"/>
      <c r="H57" s="13"/>
      <c r="I57" s="36"/>
      <c r="J57" s="36"/>
      <c r="K57" s="36"/>
      <c r="L57" s="36"/>
      <c r="M57" s="36"/>
      <c r="N57" s="36"/>
      <c r="O57" s="36"/>
      <c r="P57" s="36"/>
      <c r="Q57" s="36"/>
      <c r="R57" s="36"/>
      <c r="S57" s="36"/>
      <c r="T57" s="36"/>
      <c r="U57" s="36"/>
      <c r="V57" s="36"/>
      <c r="W57" s="36"/>
      <c r="X57" s="36"/>
      <c r="Y57" s="36"/>
      <c r="Z57" s="13"/>
      <c r="AA57" s="13"/>
      <c r="AH57" s="145" t="str">
        <f>General!G72</f>
        <v>Btm</v>
      </c>
      <c r="AI57" s="163">
        <f>IF(F57="",IF(G56="","",AI55-AJ56),F57)</f>
        <v>-128.98699999999999</v>
      </c>
      <c r="AJ57" s="175"/>
    </row>
    <row r="58" spans="2:56" ht="6.6" customHeight="1" x14ac:dyDescent="0.25">
      <c r="B58" s="136"/>
      <c r="C58" s="135"/>
      <c r="E58" s="167"/>
      <c r="F58" s="168"/>
      <c r="G58" s="15"/>
      <c r="H58" s="13"/>
      <c r="I58" s="36"/>
      <c r="J58" s="36"/>
      <c r="K58" s="36"/>
      <c r="L58" s="36"/>
      <c r="M58" s="36"/>
      <c r="N58" s="36"/>
      <c r="O58" s="36"/>
      <c r="P58" s="36"/>
      <c r="Q58" s="36"/>
      <c r="R58" s="36"/>
      <c r="S58" s="36"/>
      <c r="T58" s="36"/>
      <c r="U58" s="36"/>
      <c r="V58" s="36"/>
      <c r="W58" s="36"/>
      <c r="X58" s="36"/>
      <c r="Y58" s="36"/>
      <c r="Z58" s="13"/>
      <c r="AA58" s="13"/>
      <c r="AH58" s="145"/>
      <c r="AI58" s="164"/>
      <c r="AJ58" s="27"/>
    </row>
    <row r="59" spans="2:56" ht="12" customHeight="1" x14ac:dyDescent="0.2">
      <c r="E59" s="4"/>
      <c r="F59" s="4"/>
      <c r="G59" s="3" t="s">
        <v>402</v>
      </c>
      <c r="H59" s="161" t="str">
        <f>IF(AK60="",H11,CONCATENATE(H11," (",FIXED(AK60,2),")"))</f>
        <v>1 (-23.00)</v>
      </c>
      <c r="I59" s="162"/>
      <c r="J59" s="161" t="str">
        <f>IF(AM60="",J11,CONCATENATE(J11," (",FIXED(AM60,2),")"))</f>
        <v>2 (12.00)</v>
      </c>
      <c r="K59" s="162"/>
      <c r="L59" s="161" t="str">
        <f>IF(AO60="",L11,CONCATENATE(L11," (",FIXED(AO60,2),")"))</f>
        <v>3 (34.00)</v>
      </c>
      <c r="M59" s="162"/>
      <c r="N59" s="161">
        <f>IF(AQ60="",N11,CONCATENATE(N11," (",FIXED(AQ60,2),")"))</f>
        <v>4</v>
      </c>
      <c r="O59" s="162"/>
      <c r="P59" s="161">
        <f>IF(AS60="",P11,CONCATENATE(P11," (",FIXED(AS60,2),")"))</f>
        <v>5</v>
      </c>
      <c r="Q59" s="162"/>
      <c r="R59" s="161">
        <f>IF(AU60="",R11,CONCATENATE(R11," (",FIXED(AU60,2),")"))</f>
        <v>7</v>
      </c>
      <c r="S59" s="162"/>
      <c r="T59" s="161">
        <f>IF(AW60="",T11,CONCATENATE(T11," (",FIXED(AW60,2),")"))</f>
        <v>8</v>
      </c>
      <c r="U59" s="162"/>
      <c r="V59" s="161">
        <f>IF(AY60="",V11,CONCATENATE(V11," (",FIXED(AY60,2),")"))</f>
        <v>9</v>
      </c>
      <c r="W59" s="162"/>
      <c r="X59" s="161">
        <f>IF(BA60="",X11,CONCATENATE(X11," (",FIXED(BA60,2),")"))</f>
        <v>10</v>
      </c>
      <c r="Y59" s="162"/>
      <c r="Z59" s="161" t="str">
        <f>IF(BC60="",Z11,CONCATENATE(Z11," (",FIXED(BC60,2),")"))</f>
        <v>11</v>
      </c>
      <c r="AA59" s="162"/>
      <c r="AD59" s="7"/>
      <c r="AJ59" s="33" t="s">
        <v>152</v>
      </c>
      <c r="AK59" s="184" t="s">
        <v>16</v>
      </c>
      <c r="AL59" s="185"/>
      <c r="AM59" s="184" t="s">
        <v>17</v>
      </c>
      <c r="AN59" s="185"/>
      <c r="AO59" s="184" t="s">
        <v>18</v>
      </c>
      <c r="AP59" s="185"/>
      <c r="AQ59" s="184" t="s">
        <v>19</v>
      </c>
      <c r="AR59" s="185"/>
      <c r="AS59" s="184" t="s">
        <v>20</v>
      </c>
      <c r="AT59" s="185"/>
      <c r="AU59" s="184" t="s">
        <v>21</v>
      </c>
      <c r="AV59" s="185"/>
      <c r="AW59" s="184" t="s">
        <v>22</v>
      </c>
      <c r="AX59" s="185"/>
      <c r="AY59" s="184" t="s">
        <v>23</v>
      </c>
      <c r="AZ59" s="185"/>
      <c r="BA59" s="184" t="s">
        <v>24</v>
      </c>
      <c r="BB59" s="185"/>
      <c r="BC59" s="184" t="s">
        <v>150</v>
      </c>
      <c r="BD59" s="185"/>
    </row>
    <row r="60" spans="2:56" ht="12" customHeight="1" x14ac:dyDescent="0.2">
      <c r="B60" s="75"/>
      <c r="E60" s="4"/>
      <c r="F60" s="4"/>
      <c r="G60" s="38" t="s">
        <v>151</v>
      </c>
      <c r="H60" s="151">
        <f>-46/2</f>
        <v>-23</v>
      </c>
      <c r="I60" s="152"/>
      <c r="J60" s="151"/>
      <c r="K60" s="152"/>
      <c r="L60" s="151"/>
      <c r="M60" s="152"/>
      <c r="N60" s="151"/>
      <c r="O60" s="152"/>
      <c r="P60" s="151"/>
      <c r="Q60" s="152"/>
      <c r="R60" s="151"/>
      <c r="S60" s="152"/>
      <c r="T60" s="151"/>
      <c r="U60" s="152"/>
      <c r="V60" s="151"/>
      <c r="W60" s="152"/>
      <c r="X60" s="151"/>
      <c r="Y60" s="152"/>
      <c r="Z60" s="151"/>
      <c r="AA60" s="152"/>
      <c r="AD60" s="7"/>
      <c r="AJ60" s="34" t="s">
        <v>151</v>
      </c>
      <c r="AK60" s="149">
        <f>H60</f>
        <v>-23</v>
      </c>
      <c r="AL60" s="150"/>
      <c r="AM60" s="149">
        <f>IF(J60="",IF(I61="","",AK60+I61),J60)</f>
        <v>12</v>
      </c>
      <c r="AN60" s="153"/>
      <c r="AO60" s="149">
        <f>IF(L60="",IF(K61="","",AM60+K61),L60)</f>
        <v>34</v>
      </c>
      <c r="AP60" s="153"/>
      <c r="AQ60" s="149" t="str">
        <f>IF(N60="",IF(M61="","",AO60+M61),N60)</f>
        <v/>
      </c>
      <c r="AR60" s="153"/>
      <c r="AS60" s="149" t="str">
        <f>IF(P60="",IF(O61="","",AQ60+O61),P60)</f>
        <v/>
      </c>
      <c r="AT60" s="153"/>
      <c r="AU60" s="149" t="str">
        <f>IF(R60="",IF(Q61="","",AS60+Q61),R60)</f>
        <v/>
      </c>
      <c r="AV60" s="153"/>
      <c r="AW60" s="149" t="str">
        <f>IF(T60="",IF(S61="","",AU60+S61),T60)</f>
        <v/>
      </c>
      <c r="AX60" s="153"/>
      <c r="AY60" s="149" t="str">
        <f>IF(V60="",IF(U61="","",AW60+U61),V60)</f>
        <v/>
      </c>
      <c r="AZ60" s="153"/>
      <c r="BA60" s="149" t="str">
        <f>IF(X60="",IF(W61="","",AY60+W61),X60)</f>
        <v/>
      </c>
      <c r="BB60" s="153"/>
      <c r="BC60" s="149" t="str">
        <f>IF(Z60="",IF(Y61="","",BA60+Y61),Z60)</f>
        <v/>
      </c>
      <c r="BD60" s="153"/>
    </row>
    <row r="61" spans="2:56" ht="12" customHeight="1" x14ac:dyDescent="0.2">
      <c r="B61" s="76"/>
      <c r="E61" s="4"/>
      <c r="G61" s="42" t="s">
        <v>149</v>
      </c>
      <c r="H61" s="30"/>
      <c r="I61" s="151">
        <v>35</v>
      </c>
      <c r="J61" s="152"/>
      <c r="K61" s="151">
        <v>22</v>
      </c>
      <c r="L61" s="152"/>
      <c r="M61" s="151"/>
      <c r="N61" s="152"/>
      <c r="O61" s="151"/>
      <c r="P61" s="152"/>
      <c r="Q61" s="151"/>
      <c r="R61" s="152"/>
      <c r="S61" s="31"/>
      <c r="T61" s="31"/>
      <c r="U61" s="151"/>
      <c r="V61" s="152"/>
      <c r="W61" s="151"/>
      <c r="X61" s="152"/>
      <c r="Y61" s="151"/>
      <c r="Z61" s="152"/>
      <c r="AA61" s="28"/>
      <c r="AD61" s="7"/>
      <c r="AJ61" s="32" t="s">
        <v>149</v>
      </c>
      <c r="AK61" s="3"/>
      <c r="AL61" s="149">
        <f>IF(J60="",IF(I61="","",I61),AM60-AK60)</f>
        <v>35</v>
      </c>
      <c r="AM61" s="150"/>
      <c r="AN61" s="149">
        <f>IF(L60="",IF(K61="","",K61),AO60-AM60)</f>
        <v>22</v>
      </c>
      <c r="AO61" s="150"/>
      <c r="AP61" s="149" t="str">
        <f>IF(N60="",IF(M61="","",M61),AQ60-AO60)</f>
        <v/>
      </c>
      <c r="AQ61" s="150"/>
      <c r="AR61" s="149" t="str">
        <f>IF(P60="",IF(O61="","",O61),AS60-AQ60)</f>
        <v/>
      </c>
      <c r="AS61" s="150"/>
      <c r="AT61" s="149" t="str">
        <f>IF(R60="",IF(Q61="","",Q61),AU60-AS60)</f>
        <v/>
      </c>
      <c r="AU61" s="150"/>
      <c r="AV61" s="149" t="str">
        <f>IF(T60="",IF(S61="","",S61),AW60-AU60)</f>
        <v/>
      </c>
      <c r="AW61" s="150"/>
      <c r="AX61" s="149" t="str">
        <f>IF(V60="",IF(U61="","",U61),AY60-AW60)</f>
        <v/>
      </c>
      <c r="AY61" s="150"/>
      <c r="AZ61" s="149" t="str">
        <f>IF(X60="",IF(W61="","",W61),BA60-AY60)</f>
        <v/>
      </c>
      <c r="BA61" s="150"/>
      <c r="BB61" s="149" t="str">
        <f>IF(Z60="",IF(Y61="","",Y61),BC60-BA60)</f>
        <v/>
      </c>
      <c r="BC61" s="150"/>
      <c r="BD61" s="28"/>
    </row>
    <row r="62" spans="2:56" x14ac:dyDescent="0.2">
      <c r="B62" s="75"/>
      <c r="F62" s="8"/>
      <c r="H62" s="5"/>
      <c r="I62" s="5"/>
      <c r="J62" s="5"/>
      <c r="K62" s="5"/>
      <c r="L62" s="5"/>
      <c r="M62" s="5"/>
      <c r="N62" s="5"/>
      <c r="O62" s="5"/>
      <c r="P62" s="5"/>
      <c r="Q62" s="5"/>
      <c r="R62" s="5"/>
      <c r="S62" s="5"/>
      <c r="T62" s="5"/>
      <c r="U62" s="5"/>
      <c r="V62" s="5"/>
      <c r="W62" s="5"/>
      <c r="X62" s="5"/>
      <c r="Y62" s="5"/>
      <c r="Z62" s="5"/>
      <c r="AA62" s="5"/>
      <c r="AB62" s="5"/>
      <c r="AC62" s="5"/>
    </row>
    <row r="63" spans="2:56" x14ac:dyDescent="0.2">
      <c r="F63" s="8"/>
      <c r="H63" s="5"/>
      <c r="I63" s="5"/>
      <c r="J63" s="5"/>
      <c r="K63" s="5"/>
      <c r="L63" s="5"/>
      <c r="M63" s="5"/>
      <c r="N63" s="5"/>
      <c r="O63" s="5"/>
      <c r="P63" s="5"/>
      <c r="Q63" s="5"/>
      <c r="R63" s="5"/>
      <c r="S63" s="5"/>
      <c r="T63" s="5"/>
      <c r="U63" s="5"/>
      <c r="V63" s="5"/>
      <c r="W63" s="5"/>
      <c r="X63" s="5"/>
      <c r="Y63" s="5"/>
      <c r="Z63" s="5"/>
      <c r="AA63" s="5"/>
      <c r="AB63" s="5"/>
      <c r="AC63" s="5"/>
    </row>
    <row r="64" spans="2:56" x14ac:dyDescent="0.2">
      <c r="H64" s="5"/>
      <c r="I64" s="5"/>
      <c r="J64" s="5"/>
      <c r="K64" s="5"/>
      <c r="L64" s="5"/>
      <c r="M64" s="5"/>
      <c r="N64" s="5"/>
      <c r="O64" s="5"/>
      <c r="P64" s="5"/>
      <c r="Q64" s="5"/>
      <c r="R64" s="5"/>
      <c r="S64" s="5"/>
      <c r="T64" s="5"/>
      <c r="U64" s="5"/>
      <c r="V64" s="5"/>
      <c r="W64" s="5"/>
      <c r="X64" s="5"/>
      <c r="Y64" s="5"/>
    </row>
    <row r="65" spans="2:56" ht="12.75" customHeight="1" x14ac:dyDescent="0.2">
      <c r="B65" s="128" t="s">
        <v>338</v>
      </c>
      <c r="E65" s="130" t="s">
        <v>401</v>
      </c>
      <c r="F65" s="131"/>
      <c r="G65" s="3" t="s">
        <v>402</v>
      </c>
      <c r="H65" s="161" t="str">
        <f>IF(AK68="",H69,CONCATENATE(H69," (",FIXED(AK68,2),")"))</f>
        <v>A (-29.90)</v>
      </c>
      <c r="I65" s="166"/>
      <c r="J65" s="161" t="str">
        <f>IF(AM68="",J69,CONCATENATE(J69," (",FIXED(AM68,2),")"))</f>
        <v>B (-20.00)</v>
      </c>
      <c r="K65" s="166"/>
      <c r="L65" s="161" t="str">
        <f>IF(AO68="",L69,CONCATENATE(L69," (",FIXED(AO68,2),")"))</f>
        <v>C (-5.00)</v>
      </c>
      <c r="M65" s="166"/>
      <c r="N65" s="161" t="str">
        <f>IF(AQ68="",N69,CONCATENATE(N69," (",FIXED(AQ68,2),")"))</f>
        <v>D (4.90)</v>
      </c>
      <c r="O65" s="166"/>
      <c r="P65" s="161" t="str">
        <f>IF(AS68="",P69,CONCATENATE(P69," (",FIXED(AS68,2),")"))</f>
        <v>E</v>
      </c>
      <c r="Q65" s="166"/>
      <c r="R65" s="161" t="str">
        <f>IF(AU68="",R69,CONCATENATE(R69," (",FIXED(AU68,2),")"))</f>
        <v>H</v>
      </c>
      <c r="S65" s="166"/>
      <c r="T65" s="161" t="str">
        <f>IF(AW68="",T69,CONCATENATE(T69," (",FIXED(AW68,2),")"))</f>
        <v>I</v>
      </c>
      <c r="U65" s="166"/>
      <c r="V65" s="161" t="str">
        <f>IF(AY68="",V69,CONCATENATE(V69," (",FIXED(AY68,2),")"))</f>
        <v>J</v>
      </c>
      <c r="W65" s="166"/>
      <c r="X65" s="161" t="str">
        <f>IF(BA68="",X69,CONCATENATE(X69," (",FIXED(BA68,2),")"))</f>
        <v>K</v>
      </c>
      <c r="Y65" s="166"/>
      <c r="Z65" s="161" t="str">
        <f>IF(BC68="",Z69,CONCATENATE(Z69," (",FIXED(BC68,2),")"))</f>
        <v>L</v>
      </c>
      <c r="AA65" s="166"/>
      <c r="AI65" s="1" t="s">
        <v>47</v>
      </c>
      <c r="AJ65" s="33" t="s">
        <v>152</v>
      </c>
      <c r="AK65" s="161" t="s">
        <v>6</v>
      </c>
      <c r="AL65" s="162"/>
      <c r="AM65" s="161" t="s">
        <v>7</v>
      </c>
      <c r="AN65" s="162"/>
      <c r="AO65" s="161" t="s">
        <v>8</v>
      </c>
      <c r="AP65" s="162"/>
      <c r="AQ65" s="161" t="s">
        <v>9</v>
      </c>
      <c r="AR65" s="162"/>
      <c r="AS65" s="161" t="s">
        <v>10</v>
      </c>
      <c r="AT65" s="162"/>
      <c r="AU65" s="161" t="s">
        <v>11</v>
      </c>
      <c r="AV65" s="162"/>
      <c r="AW65" s="161" t="s">
        <v>12</v>
      </c>
      <c r="AX65" s="162"/>
      <c r="AY65" s="161" t="s">
        <v>13</v>
      </c>
      <c r="AZ65" s="162"/>
      <c r="BA65" s="161" t="s">
        <v>14</v>
      </c>
      <c r="BB65" s="162"/>
      <c r="BC65" s="161" t="s">
        <v>157</v>
      </c>
      <c r="BD65" s="162"/>
    </row>
    <row r="66" spans="2:56" x14ac:dyDescent="0.2">
      <c r="B66" s="129"/>
      <c r="E66" s="132"/>
      <c r="F66" s="133"/>
      <c r="G66" s="3" t="s">
        <v>154</v>
      </c>
      <c r="H66" s="151">
        <v>0.1</v>
      </c>
      <c r="I66" s="152"/>
      <c r="J66" s="151">
        <v>0</v>
      </c>
      <c r="K66" s="152"/>
      <c r="L66" s="151">
        <v>0</v>
      </c>
      <c r="M66" s="152"/>
      <c r="N66" s="151">
        <v>-0.1</v>
      </c>
      <c r="O66" s="152"/>
      <c r="P66" s="151"/>
      <c r="Q66" s="152"/>
      <c r="R66" s="151"/>
      <c r="S66" s="152"/>
      <c r="T66" s="151"/>
      <c r="U66" s="152"/>
      <c r="V66" s="151"/>
      <c r="W66" s="152"/>
      <c r="X66" s="151"/>
      <c r="Y66" s="152"/>
      <c r="Z66" s="151"/>
      <c r="AA66" s="152"/>
      <c r="AI66" s="1"/>
      <c r="AJ66" s="34" t="s">
        <v>155</v>
      </c>
      <c r="AK66" s="160">
        <f>H66</f>
        <v>0.1</v>
      </c>
      <c r="AL66" s="153"/>
      <c r="AM66" s="149">
        <f>IF(J66="",IF(I67="","",AK66+I67),J66)</f>
        <v>0</v>
      </c>
      <c r="AN66" s="153"/>
      <c r="AO66" s="149">
        <f>IF(L66="",IF(K67="","",AM66+K67),L66)</f>
        <v>0</v>
      </c>
      <c r="AP66" s="153"/>
      <c r="AQ66" s="149">
        <f>IF(N66="",IF(M67="","",AO66+M67),N66)</f>
        <v>-0.1</v>
      </c>
      <c r="AR66" s="153"/>
      <c r="AS66" s="149" t="str">
        <f>IF(P66="",IF(O67="","",AQ66+O67),P66)</f>
        <v/>
      </c>
      <c r="AT66" s="153"/>
      <c r="AU66" s="149" t="str">
        <f>IF(R66="",IF(Q67="","",AS66+Q67),R66)</f>
        <v/>
      </c>
      <c r="AV66" s="153"/>
      <c r="AW66" s="149" t="str">
        <f>IF(T66="",IF(S67="","",AU66+S67),T66)</f>
        <v/>
      </c>
      <c r="AX66" s="153"/>
      <c r="AY66" s="149" t="str">
        <f>IF(V66="",IF(U67="","",AW66+U67),V66)</f>
        <v/>
      </c>
      <c r="AZ66" s="153"/>
      <c r="BA66" s="149" t="str">
        <f>IF(X66="",IF(W67="","",AY66+W67),X66)</f>
        <v/>
      </c>
      <c r="BB66" s="153"/>
      <c r="BC66" s="149" t="str">
        <f>IF(Z66="",IF(Y67="","",BA66+Y67),Z66)</f>
        <v/>
      </c>
      <c r="BD66" s="153"/>
    </row>
    <row r="67" spans="2:56" x14ac:dyDescent="0.2">
      <c r="E67" s="16"/>
      <c r="F67" s="17"/>
      <c r="G67" s="43" t="s">
        <v>149</v>
      </c>
      <c r="H67" s="31"/>
      <c r="I67" s="260"/>
      <c r="J67" s="261"/>
      <c r="K67" s="260"/>
      <c r="L67" s="261"/>
      <c r="M67" s="260"/>
      <c r="N67" s="261"/>
      <c r="O67" s="260"/>
      <c r="P67" s="261"/>
      <c r="Q67" s="260"/>
      <c r="R67" s="261"/>
      <c r="S67" s="262"/>
      <c r="T67" s="262"/>
      <c r="U67" s="260"/>
      <c r="V67" s="261"/>
      <c r="W67" s="260"/>
      <c r="X67" s="261"/>
      <c r="Y67" s="260"/>
      <c r="Z67" s="259"/>
      <c r="AA67" s="28"/>
      <c r="AI67" s="1"/>
      <c r="AJ67" s="32" t="s">
        <v>149</v>
      </c>
      <c r="AK67" s="3"/>
      <c r="AL67" s="149">
        <f>IF(J66="",IF(I67="","",I67),AM66-AK66)</f>
        <v>-0.1</v>
      </c>
      <c r="AM67" s="150"/>
      <c r="AN67" s="149" t="str">
        <f>IF(O68="",IF(K67="","",K67),AO66-AM66)</f>
        <v/>
      </c>
      <c r="AO67" s="150"/>
      <c r="AP67" s="149">
        <f>IF(N66="",IF(M67="","",M67),AQ66-AO66)</f>
        <v>-0.1</v>
      </c>
      <c r="AQ67" s="150"/>
      <c r="AR67" s="149" t="str">
        <f>IF(P66="",IF(O67="","",O67),AS66-AQ66)</f>
        <v/>
      </c>
      <c r="AS67" s="150"/>
      <c r="AT67" s="149" t="str">
        <f>IF(R66="",IF(Q67="","",Q67),AU66-AS66)</f>
        <v/>
      </c>
      <c r="AU67" s="150"/>
      <c r="AV67" s="149" t="str">
        <f>IF(T66="",IF(S67="","",S67),AW66-AU66)</f>
        <v/>
      </c>
      <c r="AW67" s="150"/>
      <c r="AX67" s="149" t="str">
        <f>IF(V66="",IF(U67="","",U67),AY66-AW66)</f>
        <v/>
      </c>
      <c r="AY67" s="150"/>
      <c r="AZ67" s="149" t="str">
        <f>IF(X66="",IF(W67="","",W67),BA66-AY66)</f>
        <v/>
      </c>
      <c r="BA67" s="150"/>
      <c r="BB67" s="149" t="str">
        <f>IF(Z66="",IF(Y67="","",Y67),BC66-BA66)</f>
        <v/>
      </c>
      <c r="BC67" s="150"/>
      <c r="BD67" s="28"/>
    </row>
    <row r="68" spans="2:56" x14ac:dyDescent="0.2">
      <c r="E68" s="18"/>
      <c r="F68" s="19"/>
      <c r="G68" s="44" t="s">
        <v>4</v>
      </c>
      <c r="H68" s="31"/>
      <c r="I68" s="157" t="s">
        <v>3</v>
      </c>
      <c r="J68" s="158"/>
      <c r="K68" s="158" t="s">
        <v>0</v>
      </c>
      <c r="L68" s="158"/>
      <c r="M68" s="158" t="s">
        <v>2</v>
      </c>
      <c r="N68" s="158"/>
      <c r="O68" s="151"/>
      <c r="P68" s="152"/>
      <c r="Q68" s="158"/>
      <c r="R68" s="158"/>
      <c r="S68" s="31"/>
      <c r="T68" s="31"/>
      <c r="U68" s="158"/>
      <c r="V68" s="158"/>
      <c r="W68" s="158"/>
      <c r="X68" s="158"/>
      <c r="Y68" s="159"/>
      <c r="Z68" s="157"/>
      <c r="AA68" s="28"/>
      <c r="AK68" s="191">
        <v>-29.898091735999998</v>
      </c>
      <c r="AL68" s="187"/>
      <c r="AM68" s="191">
        <v>-20</v>
      </c>
      <c r="AN68" s="187"/>
      <c r="AO68" s="191">
        <v>-5</v>
      </c>
      <c r="AP68" s="187"/>
      <c r="AQ68" s="191">
        <v>4.8980917359999987</v>
      </c>
      <c r="AR68" s="187"/>
      <c r="AS68" s="191"/>
      <c r="AT68" s="187"/>
      <c r="AU68" s="191"/>
      <c r="AV68" s="187"/>
      <c r="AW68" s="191"/>
      <c r="AX68" s="187"/>
      <c r="AY68" s="191"/>
      <c r="AZ68" s="187"/>
      <c r="BA68" s="191"/>
      <c r="BB68" s="187"/>
      <c r="BC68" s="191"/>
      <c r="BD68" s="187"/>
    </row>
    <row r="69" spans="2:56" x14ac:dyDescent="0.2">
      <c r="E69" s="45" t="s">
        <v>49</v>
      </c>
      <c r="F69" s="29" t="s">
        <v>141</v>
      </c>
      <c r="G69" s="81" t="s">
        <v>140</v>
      </c>
      <c r="H69" s="147" t="str">
        <f>General!F72</f>
        <v>A</v>
      </c>
      <c r="I69" s="148"/>
      <c r="J69" s="147" t="str">
        <f>General!F73</f>
        <v>B</v>
      </c>
      <c r="K69" s="148"/>
      <c r="L69" s="147" t="str">
        <f>General!F74</f>
        <v>C</v>
      </c>
      <c r="M69" s="148"/>
      <c r="N69" s="147" t="str">
        <f>General!F75</f>
        <v>D</v>
      </c>
      <c r="O69" s="148"/>
      <c r="P69" s="147" t="str">
        <f>General!F76</f>
        <v>E</v>
      </c>
      <c r="Q69" s="148"/>
      <c r="R69" s="147" t="str">
        <f>General!F79</f>
        <v>H</v>
      </c>
      <c r="S69" s="148"/>
      <c r="T69" s="147" t="str">
        <f>General!F80</f>
        <v>I</v>
      </c>
      <c r="U69" s="148"/>
      <c r="V69" s="147" t="str">
        <f>General!F81</f>
        <v>J</v>
      </c>
      <c r="W69" s="147"/>
      <c r="X69" s="147" t="str">
        <f>General!F82</f>
        <v>K</v>
      </c>
      <c r="Y69" s="148"/>
      <c r="Z69" s="147" t="str">
        <f>General!F83</f>
        <v>L</v>
      </c>
      <c r="AA69" s="147"/>
    </row>
    <row r="70" spans="2:56" ht="6.6" customHeight="1" x14ac:dyDescent="0.25">
      <c r="E70" s="154" t="str">
        <f>AH11</f>
        <v>Z23</v>
      </c>
      <c r="F70" s="123" t="str">
        <f>IF(AI11="","",FIXED(AI11,2))</f>
        <v/>
      </c>
      <c r="G70" s="82"/>
      <c r="H70" s="13"/>
      <c r="I70" s="13"/>
      <c r="J70" s="13"/>
      <c r="K70" s="13"/>
      <c r="L70" s="13"/>
      <c r="M70" s="13"/>
      <c r="N70" s="13"/>
      <c r="O70" s="13"/>
      <c r="P70" s="13"/>
      <c r="Q70" s="13"/>
      <c r="R70" s="13"/>
      <c r="S70" s="13"/>
      <c r="T70" s="13"/>
      <c r="U70" s="13"/>
      <c r="V70" s="13"/>
      <c r="W70" s="13"/>
      <c r="X70" s="13"/>
      <c r="Y70" s="13"/>
      <c r="Z70" s="13"/>
      <c r="AA70" s="13"/>
    </row>
    <row r="71" spans="2:56" ht="6.6" customHeight="1" x14ac:dyDescent="0.2">
      <c r="E71" s="129"/>
      <c r="F71" s="124"/>
      <c r="G71" s="125" t="str">
        <f>IF(AJ12="","",FIXED(AJ12,2))</f>
        <v/>
      </c>
      <c r="H71" s="13"/>
      <c r="I71" s="13"/>
      <c r="J71" s="13"/>
      <c r="K71" s="13"/>
      <c r="L71" s="13"/>
      <c r="M71" s="13"/>
      <c r="N71" s="13"/>
      <c r="O71" s="13"/>
      <c r="P71" s="13"/>
      <c r="Q71" s="13"/>
      <c r="R71" s="13"/>
      <c r="S71" s="13"/>
      <c r="T71" s="13"/>
      <c r="U71" s="13"/>
      <c r="V71" s="13"/>
      <c r="W71" s="13"/>
      <c r="X71" s="13"/>
      <c r="Y71" s="13"/>
      <c r="Z71" s="13"/>
      <c r="AA71" s="13"/>
    </row>
    <row r="72" spans="2:56" ht="6.6" customHeight="1" x14ac:dyDescent="0.2">
      <c r="E72" s="154" t="str">
        <f>AH13</f>
        <v>Z22</v>
      </c>
      <c r="F72" s="123" t="str">
        <f>IF(AI13="","",FIXED(AI13,2))</f>
        <v/>
      </c>
      <c r="G72" s="126"/>
      <c r="H72" s="13"/>
      <c r="I72" s="13"/>
      <c r="J72" s="13"/>
      <c r="K72" s="13"/>
      <c r="L72" s="13"/>
      <c r="M72" s="13"/>
      <c r="N72" s="13"/>
      <c r="O72" s="13"/>
      <c r="P72" s="13"/>
      <c r="Q72" s="13"/>
      <c r="R72" s="13"/>
      <c r="S72" s="13"/>
      <c r="T72" s="13"/>
      <c r="U72" s="13"/>
      <c r="V72" s="13"/>
      <c r="W72" s="13"/>
      <c r="X72" s="13"/>
      <c r="Y72" s="13"/>
      <c r="Z72" s="13"/>
      <c r="AA72" s="13"/>
    </row>
    <row r="73" spans="2:56" ht="6.6" customHeight="1" x14ac:dyDescent="0.2">
      <c r="E73" s="129"/>
      <c r="F73" s="124"/>
      <c r="G73" s="125" t="str">
        <f>IF(AJ14="","",FIXED(AJ14,2))</f>
        <v/>
      </c>
      <c r="H73" s="13"/>
      <c r="I73" s="13"/>
      <c r="J73" s="13"/>
      <c r="K73" s="13"/>
      <c r="L73" s="13"/>
      <c r="M73" s="13"/>
      <c r="N73" s="13"/>
      <c r="O73" s="13"/>
      <c r="P73" s="13"/>
      <c r="Q73" s="13"/>
      <c r="R73" s="13"/>
      <c r="S73" s="13"/>
      <c r="T73" s="13"/>
      <c r="U73" s="13"/>
      <c r="V73" s="13"/>
      <c r="W73" s="13"/>
      <c r="X73" s="13"/>
      <c r="Y73" s="13"/>
      <c r="Z73" s="13"/>
      <c r="AA73" s="13"/>
    </row>
    <row r="74" spans="2:56" ht="6.6" customHeight="1" x14ac:dyDescent="0.2">
      <c r="E74" s="154" t="str">
        <f>AH15</f>
        <v>Z21</v>
      </c>
      <c r="F74" s="123" t="str">
        <f>IF(AI15="","",FIXED(AI15,2))</f>
        <v/>
      </c>
      <c r="G74" s="126"/>
      <c r="H74" s="13"/>
      <c r="I74" s="13"/>
      <c r="J74" s="13"/>
      <c r="K74" s="13"/>
      <c r="L74" s="13"/>
      <c r="M74" s="13"/>
      <c r="N74" s="13"/>
      <c r="O74" s="13"/>
      <c r="P74" s="13"/>
      <c r="Q74" s="13"/>
      <c r="R74" s="13"/>
      <c r="S74" s="13"/>
      <c r="T74" s="13"/>
      <c r="U74" s="13"/>
      <c r="V74" s="13"/>
      <c r="W74" s="13"/>
      <c r="X74" s="13"/>
      <c r="Y74" s="13"/>
      <c r="Z74" s="13"/>
      <c r="AA74" s="13"/>
    </row>
    <row r="75" spans="2:56" ht="6.6" customHeight="1" x14ac:dyDescent="0.2">
      <c r="E75" s="129"/>
      <c r="F75" s="124"/>
      <c r="G75" s="125" t="str">
        <f>IF(AJ16="","",FIXED(AJ16,2))</f>
        <v/>
      </c>
      <c r="H75" s="13"/>
      <c r="I75" s="13"/>
      <c r="J75" s="13"/>
      <c r="K75" s="13"/>
      <c r="L75" s="13"/>
      <c r="M75" s="13"/>
      <c r="N75" s="13"/>
      <c r="O75" s="13"/>
      <c r="P75" s="13"/>
      <c r="Q75" s="13"/>
      <c r="R75" s="13"/>
      <c r="S75" s="13"/>
      <c r="T75" s="13"/>
      <c r="U75" s="13"/>
      <c r="V75" s="13"/>
      <c r="W75" s="13"/>
      <c r="X75" s="13"/>
      <c r="Y75" s="13"/>
      <c r="Z75" s="13"/>
      <c r="AA75" s="13"/>
    </row>
    <row r="76" spans="2:56" ht="6.6" customHeight="1" x14ac:dyDescent="0.2">
      <c r="E76" s="154" t="str">
        <f>AH17</f>
        <v>Z20</v>
      </c>
      <c r="F76" s="123" t="str">
        <f>IF(AI17="","",FIXED(AI17,2))</f>
        <v/>
      </c>
      <c r="G76" s="126"/>
      <c r="H76" s="13"/>
      <c r="I76" s="13"/>
      <c r="J76" s="13"/>
      <c r="K76" s="13"/>
      <c r="L76" s="13"/>
      <c r="M76" s="13"/>
      <c r="N76" s="13"/>
      <c r="O76" s="13"/>
      <c r="P76" s="13"/>
      <c r="Q76" s="13"/>
      <c r="R76" s="13"/>
      <c r="S76" s="13"/>
      <c r="T76" s="13"/>
      <c r="U76" s="13"/>
      <c r="V76" s="13"/>
      <c r="W76" s="13"/>
      <c r="X76" s="13"/>
      <c r="Y76" s="13"/>
      <c r="Z76" s="13"/>
      <c r="AA76" s="13"/>
    </row>
    <row r="77" spans="2:56" ht="6.6" customHeight="1" x14ac:dyDescent="0.2">
      <c r="E77" s="129"/>
      <c r="F77" s="124"/>
      <c r="G77" s="125" t="str">
        <f>IF(AJ18="","",FIXED(AJ18,2))</f>
        <v/>
      </c>
      <c r="H77" s="13"/>
      <c r="I77" s="13"/>
      <c r="J77" s="13"/>
      <c r="K77" s="13"/>
      <c r="L77" s="13"/>
      <c r="M77" s="13"/>
      <c r="N77" s="13"/>
      <c r="O77" s="13"/>
      <c r="P77" s="13"/>
      <c r="Q77" s="13"/>
      <c r="R77" s="13"/>
      <c r="S77" s="13"/>
      <c r="T77" s="13"/>
      <c r="U77" s="13"/>
      <c r="V77" s="13"/>
      <c r="W77" s="13"/>
      <c r="X77" s="13"/>
      <c r="Y77" s="13"/>
      <c r="Z77" s="13"/>
      <c r="AA77" s="13"/>
    </row>
    <row r="78" spans="2:56" ht="6.6" customHeight="1" x14ac:dyDescent="0.2">
      <c r="E78" s="154" t="str">
        <f>AH19</f>
        <v>Z19</v>
      </c>
      <c r="F78" s="123" t="str">
        <f>IF(AI19="","",FIXED(AI19,2))</f>
        <v/>
      </c>
      <c r="G78" s="126"/>
      <c r="H78" s="13"/>
      <c r="I78" s="13"/>
      <c r="J78" s="13"/>
      <c r="K78" s="13"/>
      <c r="L78" s="13"/>
      <c r="M78" s="13"/>
      <c r="N78" s="13"/>
      <c r="O78" s="13"/>
      <c r="P78" s="13"/>
      <c r="Q78" s="13"/>
      <c r="R78" s="13"/>
      <c r="S78" s="13"/>
      <c r="T78" s="13"/>
      <c r="U78" s="13"/>
      <c r="V78" s="13"/>
      <c r="W78" s="13"/>
      <c r="X78" s="13"/>
      <c r="Y78" s="13"/>
      <c r="Z78" s="13"/>
      <c r="AA78" s="13"/>
    </row>
    <row r="79" spans="2:56" ht="6.6" customHeight="1" x14ac:dyDescent="0.2">
      <c r="E79" s="129"/>
      <c r="F79" s="124"/>
      <c r="G79" s="125" t="str">
        <f>IF(AJ20="","",FIXED(AJ20,2))</f>
        <v/>
      </c>
      <c r="H79" s="13"/>
      <c r="I79" s="13"/>
      <c r="J79" s="13"/>
      <c r="K79" s="13"/>
      <c r="L79" s="13"/>
      <c r="M79" s="13"/>
      <c r="N79" s="13"/>
      <c r="O79" s="13"/>
      <c r="P79" s="13"/>
      <c r="Q79" s="13"/>
      <c r="R79" s="13"/>
      <c r="S79" s="13"/>
      <c r="T79" s="13"/>
      <c r="U79" s="13"/>
      <c r="V79" s="13"/>
      <c r="W79" s="13"/>
      <c r="X79" s="13"/>
      <c r="Y79" s="13"/>
      <c r="Z79" s="13"/>
      <c r="AA79" s="13"/>
    </row>
    <row r="80" spans="2:56" ht="6.6" customHeight="1" x14ac:dyDescent="0.2">
      <c r="E80" s="154" t="str">
        <f>AH21</f>
        <v>Z18</v>
      </c>
      <c r="F80" s="123" t="str">
        <f>IF(AI21="","",FIXED(AI21,2))</f>
        <v/>
      </c>
      <c r="G80" s="126"/>
      <c r="H80" s="13"/>
      <c r="I80" s="13"/>
      <c r="J80" s="13"/>
      <c r="K80" s="13"/>
      <c r="L80" s="13"/>
      <c r="M80" s="13"/>
      <c r="N80" s="13"/>
      <c r="O80" s="13"/>
      <c r="P80" s="13"/>
      <c r="Q80" s="13"/>
      <c r="R80" s="13"/>
      <c r="S80" s="13"/>
      <c r="T80" s="13"/>
      <c r="U80" s="13"/>
      <c r="V80" s="13"/>
      <c r="W80" s="13"/>
      <c r="X80" s="13"/>
      <c r="Y80" s="13"/>
      <c r="Z80" s="13"/>
      <c r="AA80" s="13"/>
    </row>
    <row r="81" spans="5:30" ht="6.6" customHeight="1" x14ac:dyDescent="0.2">
      <c r="E81" s="129"/>
      <c r="F81" s="124"/>
      <c r="G81" s="125" t="str">
        <f>IF(AJ22="","",FIXED(AJ22,2))</f>
        <v/>
      </c>
      <c r="H81" s="13"/>
      <c r="I81" s="13"/>
      <c r="J81" s="13"/>
      <c r="K81" s="13"/>
      <c r="L81" s="13"/>
      <c r="M81" s="13"/>
      <c r="N81" s="13"/>
      <c r="O81" s="13"/>
      <c r="P81" s="13"/>
      <c r="Q81" s="13"/>
      <c r="R81" s="13"/>
      <c r="S81" s="13"/>
      <c r="T81" s="13"/>
      <c r="U81" s="13"/>
      <c r="V81" s="13"/>
      <c r="W81" s="13"/>
      <c r="X81" s="13"/>
      <c r="Y81" s="13"/>
      <c r="Z81" s="13"/>
      <c r="AA81" s="13"/>
    </row>
    <row r="82" spans="5:30" ht="6.6" customHeight="1" x14ac:dyDescent="0.2">
      <c r="E82" s="154" t="str">
        <f>AH23</f>
        <v>Z17</v>
      </c>
      <c r="F82" s="123" t="str">
        <f>IF(AI23="","",FIXED(AI23,2))</f>
        <v/>
      </c>
      <c r="G82" s="126"/>
      <c r="H82" s="13"/>
      <c r="I82" s="13"/>
      <c r="J82" s="13"/>
      <c r="K82" s="13"/>
      <c r="L82" s="13"/>
      <c r="M82" s="13"/>
      <c r="N82" s="13"/>
      <c r="O82" s="13"/>
      <c r="P82" s="13"/>
      <c r="Q82" s="13"/>
      <c r="R82" s="13"/>
      <c r="S82" s="13"/>
      <c r="T82" s="13"/>
      <c r="U82" s="13"/>
      <c r="V82" s="13"/>
      <c r="W82" s="13"/>
      <c r="X82" s="13"/>
      <c r="Y82" s="13"/>
      <c r="Z82" s="13"/>
      <c r="AA82" s="13"/>
    </row>
    <row r="83" spans="5:30" ht="6.6" customHeight="1" x14ac:dyDescent="0.2">
      <c r="E83" s="129"/>
      <c r="F83" s="124"/>
      <c r="G83" s="125" t="str">
        <f>IF(AJ24="","",FIXED(AJ24,2))</f>
        <v/>
      </c>
      <c r="H83" s="13"/>
      <c r="I83" s="13"/>
      <c r="J83" s="13"/>
      <c r="K83" s="13"/>
      <c r="L83" s="13"/>
      <c r="M83" s="13"/>
      <c r="N83" s="13"/>
      <c r="O83" s="13"/>
      <c r="P83" s="13"/>
      <c r="Q83" s="13"/>
      <c r="R83" s="13"/>
      <c r="S83" s="13"/>
      <c r="T83" s="13"/>
      <c r="U83" s="13"/>
      <c r="V83" s="13"/>
      <c r="W83" s="13"/>
      <c r="X83" s="13"/>
      <c r="Y83" s="13"/>
      <c r="Z83" s="13"/>
      <c r="AA83" s="13"/>
    </row>
    <row r="84" spans="5:30" ht="6.6" customHeight="1" x14ac:dyDescent="0.2">
      <c r="E84" s="154" t="str">
        <f>AH25</f>
        <v>Z16</v>
      </c>
      <c r="F84" s="123" t="str">
        <f>IF(AI25="","",FIXED(AI25,2))</f>
        <v/>
      </c>
      <c r="G84" s="126"/>
      <c r="H84" s="13"/>
      <c r="I84" s="13"/>
      <c r="J84" s="13"/>
      <c r="K84" s="13"/>
      <c r="L84" s="13"/>
      <c r="M84" s="13"/>
      <c r="N84" s="13"/>
      <c r="O84" s="13"/>
      <c r="P84" s="13"/>
      <c r="Q84" s="13"/>
      <c r="R84" s="13"/>
      <c r="S84" s="13"/>
      <c r="T84" s="13"/>
      <c r="U84" s="13"/>
      <c r="V84" s="13"/>
      <c r="W84" s="13"/>
      <c r="X84" s="13"/>
      <c r="Y84" s="13"/>
      <c r="Z84" s="13"/>
      <c r="AA84" s="13"/>
    </row>
    <row r="85" spans="5:30" ht="6.6" customHeight="1" x14ac:dyDescent="0.2">
      <c r="E85" s="129"/>
      <c r="F85" s="124"/>
      <c r="G85" s="125" t="str">
        <f>IF(AJ26="","",FIXED(AJ26,2))</f>
        <v/>
      </c>
      <c r="H85" s="13"/>
      <c r="I85" s="13"/>
      <c r="J85" s="13"/>
      <c r="K85" s="13"/>
      <c r="L85" s="13"/>
      <c r="M85" s="13"/>
      <c r="N85" s="13"/>
      <c r="O85" s="13"/>
      <c r="P85" s="13"/>
      <c r="Q85" s="13"/>
      <c r="R85" s="13"/>
      <c r="S85" s="13"/>
      <c r="T85" s="13"/>
      <c r="U85" s="13"/>
      <c r="V85" s="13"/>
      <c r="W85" s="13"/>
      <c r="X85" s="13"/>
      <c r="Y85" s="13"/>
      <c r="Z85" s="13"/>
      <c r="AA85" s="13"/>
    </row>
    <row r="86" spans="5:30" ht="6.6" customHeight="1" x14ac:dyDescent="0.2">
      <c r="E86" s="154" t="str">
        <f>AH27</f>
        <v>Z15</v>
      </c>
      <c r="F86" s="123" t="str">
        <f>IF(AI27="","",FIXED(AI27,2))</f>
        <v/>
      </c>
      <c r="G86" s="126"/>
      <c r="H86" s="13"/>
      <c r="I86" s="13"/>
      <c r="J86" s="13"/>
      <c r="K86" s="13"/>
      <c r="L86" s="13"/>
      <c r="M86" s="13"/>
      <c r="N86" s="13"/>
      <c r="O86" s="13"/>
      <c r="P86" s="13"/>
      <c r="Q86" s="13"/>
      <c r="R86" s="13"/>
      <c r="S86" s="13"/>
      <c r="T86" s="13"/>
      <c r="U86" s="13"/>
      <c r="V86" s="13"/>
      <c r="W86" s="13"/>
      <c r="X86" s="13"/>
      <c r="Y86" s="13"/>
      <c r="Z86" s="13"/>
      <c r="AA86" s="13"/>
    </row>
    <row r="87" spans="5:30" ht="6.6" customHeight="1" x14ac:dyDescent="0.2">
      <c r="E87" s="129"/>
      <c r="F87" s="124"/>
      <c r="G87" s="125" t="str">
        <f>IF(AJ28="","",FIXED(AJ28,2))</f>
        <v/>
      </c>
      <c r="H87" s="13"/>
      <c r="I87" s="13"/>
      <c r="J87" s="13"/>
      <c r="K87" s="13"/>
      <c r="L87" s="13"/>
      <c r="M87" s="13"/>
      <c r="N87" s="13"/>
      <c r="O87" s="13"/>
      <c r="P87" s="13"/>
      <c r="Q87" s="13"/>
      <c r="R87" s="13"/>
      <c r="S87" s="13"/>
      <c r="T87" s="13"/>
      <c r="U87" s="13"/>
      <c r="V87" s="13"/>
      <c r="W87" s="13"/>
      <c r="X87" s="13"/>
      <c r="Y87" s="13"/>
      <c r="Z87" s="13"/>
      <c r="AA87" s="13"/>
    </row>
    <row r="88" spans="5:30" ht="6.6" customHeight="1" x14ac:dyDescent="0.2">
      <c r="E88" s="154" t="str">
        <f>AH29</f>
        <v>Z14</v>
      </c>
      <c r="F88" s="123" t="str">
        <f>IF(AI29="","",FIXED(AI29,2))</f>
        <v/>
      </c>
      <c r="G88" s="126"/>
      <c r="H88" s="13"/>
      <c r="I88" s="13"/>
      <c r="J88" s="13"/>
      <c r="K88" s="13"/>
      <c r="L88" s="13"/>
      <c r="M88" s="13"/>
      <c r="N88" s="13"/>
      <c r="O88" s="13"/>
      <c r="P88" s="13"/>
      <c r="Q88" s="13"/>
      <c r="R88" s="13"/>
      <c r="S88" s="13"/>
      <c r="T88" s="13"/>
      <c r="U88" s="13"/>
      <c r="V88" s="13"/>
      <c r="W88" s="13"/>
      <c r="X88" s="13"/>
      <c r="Y88" s="13"/>
      <c r="Z88" s="13"/>
      <c r="AA88" s="13"/>
    </row>
    <row r="89" spans="5:30" ht="6.6" customHeight="1" x14ac:dyDescent="0.2">
      <c r="E89" s="129"/>
      <c r="F89" s="124"/>
      <c r="G89" s="125" t="str">
        <f>IF(AJ30="","",FIXED(AJ30,2))</f>
        <v/>
      </c>
      <c r="H89" s="13"/>
      <c r="I89" s="13"/>
      <c r="J89" s="13"/>
      <c r="K89" s="13"/>
      <c r="L89" s="13"/>
      <c r="M89" s="13"/>
      <c r="N89" s="13"/>
      <c r="O89" s="13"/>
      <c r="P89" s="13"/>
      <c r="Q89" s="13"/>
      <c r="R89" s="13"/>
      <c r="S89" s="13"/>
      <c r="T89" s="13"/>
      <c r="U89" s="13"/>
      <c r="V89" s="13"/>
      <c r="W89" s="13"/>
      <c r="X89" s="13"/>
      <c r="Y89" s="13"/>
      <c r="Z89" s="13"/>
      <c r="AA89" s="13"/>
    </row>
    <row r="90" spans="5:30" ht="6.6" customHeight="1" x14ac:dyDescent="0.2">
      <c r="E90" s="154" t="str">
        <f>AH31</f>
        <v>Z13</v>
      </c>
      <c r="F90" s="123" t="str">
        <f>IF(AI31="","",FIXED(AI31,2))</f>
        <v/>
      </c>
      <c r="G90" s="126"/>
      <c r="H90" s="13"/>
      <c r="I90" s="13"/>
      <c r="J90" s="13"/>
      <c r="K90" s="13"/>
      <c r="L90" s="13"/>
      <c r="M90" s="13"/>
      <c r="N90" s="13"/>
      <c r="O90" s="13"/>
      <c r="P90" s="13"/>
      <c r="Q90" s="13"/>
      <c r="R90" s="13"/>
      <c r="S90" s="13"/>
      <c r="T90" s="13"/>
      <c r="U90" s="13"/>
      <c r="V90" s="13"/>
      <c r="W90" s="13"/>
      <c r="X90" s="13"/>
      <c r="Y90" s="13"/>
      <c r="Z90" s="13"/>
      <c r="AA90" s="13"/>
    </row>
    <row r="91" spans="5:30" ht="6.6" customHeight="1" x14ac:dyDescent="0.2">
      <c r="E91" s="129"/>
      <c r="F91" s="124"/>
      <c r="G91" s="125" t="str">
        <f>IF(AJ32="","",FIXED(AJ32,2))</f>
        <v/>
      </c>
      <c r="H91" s="13"/>
      <c r="I91" s="13"/>
      <c r="J91" s="13"/>
      <c r="K91" s="13"/>
      <c r="L91" s="13"/>
      <c r="M91" s="13"/>
      <c r="N91" s="13"/>
      <c r="O91" s="13"/>
      <c r="P91" s="13"/>
      <c r="Q91" s="13"/>
      <c r="R91" s="13"/>
      <c r="S91" s="13"/>
      <c r="T91" s="13"/>
      <c r="U91" s="13"/>
      <c r="V91" s="13"/>
      <c r="W91" s="13"/>
      <c r="X91" s="13"/>
      <c r="Y91" s="13"/>
      <c r="Z91" s="13"/>
      <c r="AA91" s="13"/>
    </row>
    <row r="92" spans="5:30" ht="6.6" customHeight="1" x14ac:dyDescent="0.2">
      <c r="E92" s="154" t="str">
        <f>AH33</f>
        <v>Z12</v>
      </c>
      <c r="F92" s="123" t="str">
        <f>IF(AI33="","",FIXED(AI33,2))</f>
        <v/>
      </c>
      <c r="G92" s="126"/>
      <c r="H92" s="13"/>
      <c r="I92" s="13"/>
      <c r="J92" s="13"/>
      <c r="K92" s="13"/>
      <c r="L92" s="13"/>
      <c r="M92" s="13"/>
      <c r="N92" s="13"/>
      <c r="O92" s="13"/>
      <c r="P92" s="13"/>
      <c r="Q92" s="13"/>
      <c r="R92" s="13"/>
      <c r="S92" s="13"/>
      <c r="T92" s="13"/>
      <c r="U92" s="13"/>
      <c r="V92" s="13"/>
      <c r="W92" s="13"/>
      <c r="X92" s="13"/>
      <c r="Y92" s="13"/>
      <c r="Z92" s="13"/>
      <c r="AA92" s="13"/>
    </row>
    <row r="93" spans="5:30" ht="6.6" customHeight="1" x14ac:dyDescent="0.2">
      <c r="E93" s="129"/>
      <c r="F93" s="124"/>
      <c r="G93" s="125" t="str">
        <f>IF(AJ34="","",FIXED(AJ34,2))</f>
        <v/>
      </c>
      <c r="H93" s="13"/>
      <c r="I93" s="13"/>
      <c r="J93" s="13"/>
      <c r="K93" s="13"/>
      <c r="L93" s="13"/>
      <c r="M93" s="13"/>
      <c r="N93" s="13"/>
      <c r="O93" s="13"/>
      <c r="P93" s="13"/>
      <c r="Q93" s="13"/>
      <c r="R93" s="13"/>
      <c r="S93" s="13"/>
      <c r="T93" s="13"/>
      <c r="U93" s="13"/>
      <c r="V93" s="13"/>
      <c r="W93" s="13"/>
      <c r="X93" s="13"/>
      <c r="Y93" s="13"/>
      <c r="Z93" s="13"/>
      <c r="AA93" s="13"/>
      <c r="AD93" s="5"/>
    </row>
    <row r="94" spans="5:30" ht="6.6" customHeight="1" x14ac:dyDescent="0.2">
      <c r="E94" s="154" t="str">
        <f>AH35</f>
        <v>Z11</v>
      </c>
      <c r="F94" s="123" t="str">
        <f>IF(AI35="","",FIXED(AI35,2))</f>
        <v>26.03</v>
      </c>
      <c r="G94" s="126"/>
      <c r="H94" s="13"/>
      <c r="I94" s="13"/>
      <c r="J94" s="13"/>
      <c r="K94" s="13"/>
      <c r="L94" s="13"/>
      <c r="M94" s="13"/>
      <c r="N94" s="13"/>
      <c r="O94" s="13"/>
      <c r="P94" s="13"/>
      <c r="Q94" s="13"/>
      <c r="R94" s="13"/>
      <c r="S94" s="13"/>
      <c r="T94" s="13"/>
      <c r="U94" s="13"/>
      <c r="V94" s="13"/>
      <c r="W94" s="13"/>
      <c r="X94" s="13"/>
      <c r="Y94" s="13"/>
      <c r="Z94" s="13"/>
      <c r="AA94" s="13"/>
    </row>
    <row r="95" spans="5:30" ht="6.6" customHeight="1" x14ac:dyDescent="0.2">
      <c r="E95" s="129"/>
      <c r="F95" s="124"/>
      <c r="G95" s="125" t="str">
        <f>IF(AJ36="","",FIXED(AJ36,2))</f>
        <v>4.00</v>
      </c>
      <c r="H95" s="13"/>
      <c r="I95" s="13"/>
      <c r="J95" s="13"/>
      <c r="K95" s="13"/>
      <c r="L95" s="13"/>
      <c r="M95" s="13"/>
      <c r="N95" s="13"/>
      <c r="O95" s="13"/>
      <c r="P95" s="13"/>
      <c r="Q95" s="13"/>
      <c r="R95" s="13"/>
      <c r="S95" s="13"/>
      <c r="T95" s="13"/>
      <c r="U95" s="13"/>
      <c r="V95" s="13"/>
      <c r="W95" s="13"/>
      <c r="X95" s="13"/>
      <c r="Y95" s="13"/>
      <c r="Z95" s="13"/>
      <c r="AA95" s="13"/>
    </row>
    <row r="96" spans="5:30" ht="6.6" customHeight="1" x14ac:dyDescent="0.2">
      <c r="E96" s="154" t="str">
        <f>AH37</f>
        <v>Z10</v>
      </c>
      <c r="F96" s="123" t="str">
        <f>IF(AI37="","",FIXED(AI37,2))</f>
        <v>22.03</v>
      </c>
      <c r="G96" s="126"/>
      <c r="H96" s="13"/>
      <c r="I96" s="13"/>
      <c r="J96" s="13"/>
      <c r="K96" s="13"/>
      <c r="L96" s="13"/>
      <c r="M96" s="13"/>
      <c r="N96" s="13"/>
      <c r="O96" s="13"/>
      <c r="P96" s="13"/>
      <c r="Q96" s="13"/>
      <c r="R96" s="13"/>
      <c r="S96" s="13"/>
      <c r="T96" s="13"/>
      <c r="U96" s="13"/>
      <c r="V96" s="13"/>
      <c r="W96" s="13"/>
      <c r="X96" s="13"/>
      <c r="Y96" s="13"/>
      <c r="Z96" s="13"/>
      <c r="AA96" s="13"/>
    </row>
    <row r="97" spans="5:27" ht="6.6" customHeight="1" x14ac:dyDescent="0.2">
      <c r="E97" s="129"/>
      <c r="F97" s="124"/>
      <c r="G97" s="125" t="str">
        <f>IF(AJ38="","",FIXED(AJ38,2))</f>
        <v>10.33</v>
      </c>
      <c r="H97" s="13"/>
      <c r="I97" s="13"/>
      <c r="J97" s="14"/>
      <c r="K97" s="14"/>
      <c r="L97" s="14"/>
      <c r="M97" s="14"/>
      <c r="N97" s="14"/>
      <c r="O97" s="14"/>
      <c r="P97" s="14"/>
      <c r="Q97" s="13"/>
      <c r="R97" s="14"/>
      <c r="S97" s="14"/>
      <c r="T97" s="14"/>
      <c r="U97" s="14"/>
      <c r="V97" s="14"/>
      <c r="W97" s="14"/>
      <c r="X97" s="14"/>
      <c r="Y97" s="14"/>
      <c r="Z97" s="14"/>
      <c r="AA97" s="14"/>
    </row>
    <row r="98" spans="5:27" ht="6.6" customHeight="1" x14ac:dyDescent="0.2">
      <c r="E98" s="154" t="str">
        <f>AH39</f>
        <v>Z9</v>
      </c>
      <c r="F98" s="123" t="str">
        <f>IF(AI39="","",FIXED(AI39,2))</f>
        <v>11.70</v>
      </c>
      <c r="G98" s="126"/>
      <c r="H98" s="13"/>
      <c r="I98" s="13"/>
      <c r="J98" s="13"/>
      <c r="K98" s="13"/>
      <c r="L98" s="13"/>
      <c r="M98" s="13"/>
      <c r="N98" s="13"/>
      <c r="O98" s="13"/>
      <c r="P98" s="13"/>
      <c r="Q98" s="13"/>
      <c r="R98" s="13"/>
      <c r="S98" s="13"/>
      <c r="T98" s="13"/>
      <c r="U98" s="13"/>
      <c r="V98" s="13"/>
      <c r="W98" s="13"/>
      <c r="X98" s="13"/>
      <c r="Y98" s="13"/>
      <c r="Z98" s="13"/>
      <c r="AA98" s="13"/>
    </row>
    <row r="99" spans="5:27" ht="6.6" customHeight="1" x14ac:dyDescent="0.2">
      <c r="E99" s="129"/>
      <c r="F99" s="124"/>
      <c r="G99" s="125" t="str">
        <f>IF(AJ40="","",FIXED(AJ40,2))</f>
        <v>11.48</v>
      </c>
      <c r="H99" s="13"/>
      <c r="I99" s="13"/>
      <c r="J99" s="13"/>
      <c r="K99" s="13"/>
      <c r="L99" s="13"/>
      <c r="M99" s="13"/>
      <c r="N99" s="13"/>
      <c r="O99" s="13"/>
      <c r="P99" s="13"/>
      <c r="Q99" s="13"/>
      <c r="R99" s="13"/>
      <c r="S99" s="13"/>
      <c r="T99" s="13"/>
      <c r="U99" s="13"/>
      <c r="V99" s="13"/>
      <c r="W99" s="13"/>
      <c r="X99" s="13"/>
      <c r="Y99" s="13"/>
      <c r="Z99" s="13"/>
      <c r="AA99" s="13"/>
    </row>
    <row r="100" spans="5:27" ht="6.6" customHeight="1" x14ac:dyDescent="0.2">
      <c r="E100" s="154" t="str">
        <f>AH41</f>
        <v>Z8</v>
      </c>
      <c r="F100" s="123" t="str">
        <f>IF(AI41="","",FIXED(AI41,2))</f>
        <v>0.22</v>
      </c>
      <c r="G100" s="126"/>
      <c r="H100" s="13"/>
      <c r="I100" s="13"/>
      <c r="J100" s="13"/>
      <c r="K100" s="13"/>
      <c r="L100" s="13"/>
      <c r="M100" s="13"/>
      <c r="N100" s="13"/>
      <c r="O100" s="13"/>
      <c r="P100" s="13"/>
      <c r="Q100" s="13"/>
      <c r="R100" s="13"/>
      <c r="S100" s="13"/>
      <c r="T100" s="13"/>
      <c r="U100" s="13"/>
      <c r="V100" s="13"/>
      <c r="W100" s="13"/>
      <c r="X100" s="13"/>
      <c r="Y100" s="13"/>
      <c r="Z100" s="13"/>
      <c r="AA100" s="13"/>
    </row>
    <row r="101" spans="5:27" ht="6.6" customHeight="1" x14ac:dyDescent="0.2">
      <c r="E101" s="129"/>
      <c r="F101" s="124"/>
      <c r="G101" s="125" t="str">
        <f>IF(AJ42="","",FIXED(AJ42,2))</f>
        <v>12.75</v>
      </c>
      <c r="H101" s="13"/>
      <c r="I101" s="13"/>
      <c r="J101" s="13"/>
      <c r="K101" s="13"/>
      <c r="L101" s="13"/>
      <c r="M101" s="14"/>
      <c r="N101" s="13"/>
      <c r="O101" s="13"/>
      <c r="P101" s="13"/>
      <c r="Q101" s="13"/>
      <c r="R101" s="13"/>
      <c r="S101" s="13"/>
      <c r="T101" s="13"/>
      <c r="U101" s="13"/>
      <c r="V101" s="13"/>
      <c r="W101" s="13"/>
      <c r="X101" s="13"/>
      <c r="Y101" s="13"/>
      <c r="Z101" s="13"/>
      <c r="AA101" s="13"/>
    </row>
    <row r="102" spans="5:27" ht="6.6" customHeight="1" x14ac:dyDescent="0.2">
      <c r="E102" s="154" t="str">
        <f>AH43</f>
        <v>Z7</v>
      </c>
      <c r="F102" s="123" t="str">
        <f>IF(AI43="","",FIXED(AI43,2))</f>
        <v>-12.53</v>
      </c>
      <c r="G102" s="126"/>
      <c r="H102" s="13"/>
      <c r="I102" s="13"/>
      <c r="J102" s="13"/>
      <c r="K102" s="13"/>
      <c r="L102" s="13"/>
      <c r="M102" s="14"/>
      <c r="N102" s="13"/>
      <c r="O102" s="13"/>
      <c r="P102" s="13"/>
      <c r="Q102" s="13"/>
      <c r="R102" s="13"/>
      <c r="S102" s="13"/>
      <c r="T102" s="13"/>
      <c r="U102" s="13"/>
      <c r="V102" s="13"/>
      <c r="W102" s="13"/>
      <c r="X102" s="13"/>
      <c r="Y102" s="13"/>
      <c r="Z102" s="13"/>
      <c r="AA102" s="13"/>
    </row>
    <row r="103" spans="5:27" ht="6.6" customHeight="1" x14ac:dyDescent="0.2">
      <c r="E103" s="129"/>
      <c r="F103" s="124"/>
      <c r="G103" s="125" t="str">
        <f>IF(AJ44="","",FIXED(AJ44,2))</f>
        <v>14.17</v>
      </c>
      <c r="H103" s="13"/>
      <c r="I103" s="13"/>
      <c r="J103" s="13"/>
      <c r="K103" s="13"/>
      <c r="L103" s="13"/>
      <c r="M103" s="14"/>
      <c r="N103" s="13"/>
      <c r="O103" s="13"/>
      <c r="P103" s="13"/>
      <c r="Q103" s="13"/>
      <c r="R103" s="13"/>
      <c r="S103" s="13"/>
      <c r="T103" s="13"/>
      <c r="U103" s="13"/>
      <c r="V103" s="13"/>
      <c r="W103" s="13"/>
      <c r="X103" s="13"/>
      <c r="Y103" s="13"/>
      <c r="Z103" s="13"/>
      <c r="AA103" s="13"/>
    </row>
    <row r="104" spans="5:27" ht="6.6" customHeight="1" x14ac:dyDescent="0.2">
      <c r="E104" s="154" t="str">
        <f>AH45</f>
        <v>Z6</v>
      </c>
      <c r="F104" s="123" t="str">
        <f>IF(AI45="","",FIXED(AI45,2))</f>
        <v>-26.70</v>
      </c>
      <c r="G104" s="126"/>
      <c r="H104" s="13"/>
      <c r="I104" s="13"/>
      <c r="J104" s="13"/>
      <c r="K104" s="13"/>
      <c r="L104" s="13"/>
      <c r="M104" s="13"/>
      <c r="N104" s="13"/>
      <c r="O104" s="13"/>
      <c r="P104" s="13"/>
      <c r="Q104" s="13"/>
      <c r="R104" s="13"/>
      <c r="S104" s="13"/>
      <c r="T104" s="13"/>
      <c r="U104" s="13"/>
      <c r="V104" s="13"/>
      <c r="W104" s="13"/>
      <c r="X104" s="13"/>
      <c r="Y104" s="13"/>
      <c r="Z104" s="13"/>
      <c r="AA104" s="13"/>
    </row>
    <row r="105" spans="5:27" ht="6.6" customHeight="1" x14ac:dyDescent="0.2">
      <c r="E105" s="129"/>
      <c r="F105" s="124"/>
      <c r="G105" s="125" t="str">
        <f>IF(AJ46="","",FIXED(AJ46,2))</f>
        <v>15.75</v>
      </c>
      <c r="H105" s="13"/>
      <c r="I105" s="13"/>
      <c r="J105" s="13"/>
      <c r="K105" s="13"/>
      <c r="L105" s="13"/>
      <c r="M105" s="13"/>
      <c r="N105" s="13"/>
      <c r="O105" s="13"/>
      <c r="P105" s="13"/>
      <c r="Q105" s="13"/>
      <c r="R105" s="13"/>
      <c r="S105" s="13"/>
      <c r="T105" s="13"/>
      <c r="U105" s="13"/>
      <c r="V105" s="13"/>
      <c r="W105" s="13"/>
      <c r="X105" s="13"/>
      <c r="Y105" s="13"/>
      <c r="Z105" s="13"/>
      <c r="AA105" s="13"/>
    </row>
    <row r="106" spans="5:27" ht="6.6" customHeight="1" x14ac:dyDescent="0.2">
      <c r="E106" s="154" t="str">
        <f>AH47</f>
        <v>Z5</v>
      </c>
      <c r="F106" s="123" t="str">
        <f>IF(AI47="","",FIXED(AI47,2))</f>
        <v>-42.45</v>
      </c>
      <c r="G106" s="126"/>
      <c r="H106" s="13"/>
      <c r="I106" s="13"/>
      <c r="J106" s="13"/>
      <c r="K106" s="13"/>
      <c r="L106" s="13"/>
      <c r="M106" s="13"/>
      <c r="N106" s="13"/>
      <c r="O106" s="13"/>
      <c r="P106" s="13"/>
      <c r="Q106" s="13"/>
      <c r="R106" s="13"/>
      <c r="S106" s="13"/>
      <c r="T106" s="13"/>
      <c r="U106" s="13"/>
      <c r="V106" s="13"/>
      <c r="W106" s="13"/>
      <c r="X106" s="13"/>
      <c r="Y106" s="13"/>
      <c r="Z106" s="13"/>
      <c r="AA106" s="13"/>
    </row>
    <row r="107" spans="5:27" ht="6.6" customHeight="1" x14ac:dyDescent="0.2">
      <c r="E107" s="129"/>
      <c r="F107" s="124"/>
      <c r="G107" s="125" t="str">
        <f>IF(AJ48="","",FIXED(AJ48,2))</f>
        <v>17.50</v>
      </c>
      <c r="H107" s="13"/>
      <c r="I107" s="13"/>
      <c r="J107" s="13"/>
      <c r="K107" s="13"/>
      <c r="L107" s="13"/>
      <c r="M107" s="13"/>
      <c r="N107" s="13"/>
      <c r="O107" s="13"/>
      <c r="P107" s="13"/>
      <c r="Q107" s="13"/>
      <c r="R107" s="13"/>
      <c r="S107" s="13"/>
      <c r="T107" s="13"/>
      <c r="U107" s="13"/>
      <c r="V107" s="13"/>
      <c r="W107" s="13"/>
      <c r="X107" s="13"/>
      <c r="Y107" s="13"/>
      <c r="Z107" s="13"/>
      <c r="AA107" s="13"/>
    </row>
    <row r="108" spans="5:27" ht="6.6" customHeight="1" x14ac:dyDescent="0.2">
      <c r="E108" s="154" t="str">
        <f>AH49</f>
        <v>Z4</v>
      </c>
      <c r="F108" s="123" t="str">
        <f>IF(AI49="","",FIXED(AI49,2))</f>
        <v>-59.95</v>
      </c>
      <c r="G108" s="126"/>
      <c r="H108" s="13"/>
      <c r="I108" s="13"/>
      <c r="J108" s="13"/>
      <c r="K108" s="13"/>
      <c r="L108" s="13"/>
      <c r="M108" s="13"/>
      <c r="N108" s="13"/>
      <c r="O108" s="13"/>
      <c r="P108" s="13"/>
      <c r="Q108" s="13"/>
      <c r="R108" s="13"/>
      <c r="S108" s="13"/>
      <c r="T108" s="13"/>
      <c r="U108" s="13"/>
      <c r="V108" s="13"/>
      <c r="W108" s="13"/>
      <c r="X108" s="13"/>
      <c r="Y108" s="13"/>
      <c r="Z108" s="13"/>
      <c r="AA108" s="13"/>
    </row>
    <row r="109" spans="5:27" ht="6.6" customHeight="1" x14ac:dyDescent="0.2">
      <c r="E109" s="129"/>
      <c r="F109" s="124"/>
      <c r="G109" s="125" t="str">
        <f>IF(AJ50="","",FIXED(AJ50,2))</f>
        <v>19.44</v>
      </c>
      <c r="H109" s="13"/>
      <c r="I109" s="13"/>
      <c r="J109" s="13"/>
      <c r="K109" s="13"/>
      <c r="L109" s="13"/>
      <c r="M109" s="13"/>
      <c r="N109" s="13"/>
      <c r="O109" s="13"/>
      <c r="P109" s="13"/>
      <c r="Q109" s="13"/>
      <c r="R109" s="13"/>
      <c r="S109" s="13"/>
      <c r="T109" s="13"/>
      <c r="U109" s="13"/>
      <c r="V109" s="13"/>
      <c r="W109" s="13"/>
      <c r="X109" s="13"/>
      <c r="Y109" s="13"/>
      <c r="Z109" s="13"/>
      <c r="AA109" s="13"/>
    </row>
    <row r="110" spans="5:27" ht="6.6" customHeight="1" x14ac:dyDescent="0.2">
      <c r="E110" s="154" t="str">
        <f>AH51</f>
        <v>Z3</v>
      </c>
      <c r="F110" s="123" t="str">
        <f>IF(AI51="","",FIXED(AI51,2))</f>
        <v>-79.39</v>
      </c>
      <c r="G110" s="126"/>
      <c r="H110" s="13"/>
      <c r="I110" s="13"/>
      <c r="J110" s="13"/>
      <c r="K110" s="13"/>
      <c r="L110" s="13"/>
      <c r="M110" s="13"/>
      <c r="N110" s="13"/>
      <c r="O110" s="13"/>
      <c r="P110" s="13"/>
      <c r="Q110" s="13"/>
      <c r="R110" s="13"/>
      <c r="S110" s="13"/>
      <c r="T110" s="13"/>
      <c r="U110" s="13"/>
      <c r="V110" s="13"/>
      <c r="W110" s="13"/>
      <c r="X110" s="13"/>
      <c r="Y110" s="13"/>
      <c r="Z110" s="13"/>
      <c r="AA110" s="13"/>
    </row>
    <row r="111" spans="5:27" ht="6.6" customHeight="1" x14ac:dyDescent="0.2">
      <c r="E111" s="129"/>
      <c r="F111" s="124"/>
      <c r="G111" s="125" t="str">
        <f>IF(AJ52="","",FIXED(AJ52,2))</f>
        <v>21.60</v>
      </c>
      <c r="H111" s="13"/>
      <c r="I111" s="13"/>
      <c r="J111" s="13"/>
      <c r="K111" s="13"/>
      <c r="L111" s="13"/>
      <c r="M111" s="13"/>
      <c r="N111" s="13"/>
      <c r="O111" s="13"/>
      <c r="P111" s="13"/>
      <c r="Q111" s="13"/>
      <c r="R111" s="13"/>
      <c r="S111" s="13"/>
      <c r="T111" s="13"/>
      <c r="U111" s="13"/>
      <c r="V111" s="13"/>
      <c r="W111" s="13"/>
      <c r="X111" s="13"/>
      <c r="Y111" s="13"/>
      <c r="Z111" s="13"/>
      <c r="AA111" s="13"/>
    </row>
    <row r="112" spans="5:27" ht="6.6" customHeight="1" x14ac:dyDescent="0.2">
      <c r="E112" s="154" t="str">
        <f>AH53</f>
        <v>Z2</v>
      </c>
      <c r="F112" s="123" t="str">
        <f>IF(AI53="","",FIXED(AI53,2))</f>
        <v>-100.99</v>
      </c>
      <c r="G112" s="126"/>
      <c r="H112" s="13"/>
      <c r="I112" s="13"/>
      <c r="J112" s="13"/>
      <c r="K112" s="13"/>
      <c r="L112" s="13"/>
      <c r="M112" s="13"/>
      <c r="N112" s="13"/>
      <c r="O112" s="13"/>
      <c r="P112" s="13"/>
      <c r="Q112" s="13"/>
      <c r="R112" s="13"/>
      <c r="S112" s="13"/>
      <c r="T112" s="13"/>
      <c r="U112" s="13"/>
      <c r="V112" s="13"/>
      <c r="W112" s="13"/>
      <c r="X112" s="13"/>
      <c r="Y112" s="13"/>
      <c r="Z112" s="13"/>
      <c r="AA112" s="13"/>
    </row>
    <row r="113" spans="5:56" ht="6.6" customHeight="1" x14ac:dyDescent="0.2">
      <c r="E113" s="129"/>
      <c r="F113" s="124"/>
      <c r="G113" s="125" t="str">
        <f>IF(AJ54="","",FIXED(AJ54,2))</f>
        <v>24.00</v>
      </c>
      <c r="H113" s="13"/>
      <c r="I113" s="13"/>
      <c r="J113" s="13"/>
      <c r="K113" s="13"/>
      <c r="L113" s="13"/>
      <c r="M113" s="13"/>
      <c r="N113" s="13"/>
      <c r="O113" s="13"/>
      <c r="P113" s="13"/>
      <c r="Q113" s="13"/>
      <c r="R113" s="13"/>
      <c r="S113" s="13"/>
      <c r="T113" s="13"/>
      <c r="U113" s="13"/>
      <c r="V113" s="13"/>
      <c r="W113" s="13"/>
      <c r="X113" s="13"/>
      <c r="Y113" s="13"/>
      <c r="Z113" s="13"/>
      <c r="AA113" s="13"/>
    </row>
    <row r="114" spans="5:56" ht="6.6" customHeight="1" x14ac:dyDescent="0.2">
      <c r="E114" s="154" t="str">
        <f>AH55</f>
        <v>Z1</v>
      </c>
      <c r="F114" s="123" t="str">
        <f>IF(AI55="","",FIXED(AI55,2))</f>
        <v>-124.99</v>
      </c>
      <c r="G114" s="126"/>
      <c r="H114" s="13"/>
      <c r="I114" s="13"/>
      <c r="J114" s="13"/>
      <c r="K114" s="13"/>
      <c r="L114" s="13"/>
      <c r="M114" s="13"/>
      <c r="N114" s="13"/>
      <c r="O114" s="13"/>
      <c r="P114" s="13"/>
      <c r="Q114" s="13"/>
      <c r="R114" s="13"/>
      <c r="S114" s="13"/>
      <c r="T114" s="13"/>
      <c r="U114" s="13"/>
      <c r="V114" s="13"/>
      <c r="W114" s="13"/>
      <c r="X114" s="13"/>
      <c r="Y114" s="13"/>
      <c r="Z114" s="13"/>
      <c r="AA114" s="13"/>
    </row>
    <row r="115" spans="5:56" ht="6.6" customHeight="1" x14ac:dyDescent="0.2">
      <c r="E115" s="129"/>
      <c r="F115" s="124"/>
      <c r="G115" s="125" t="str">
        <f>IF(AJ56="","",FIXED(AJ56,2))</f>
        <v>4.00</v>
      </c>
      <c r="H115" s="13"/>
      <c r="I115" s="13"/>
      <c r="J115" s="13"/>
      <c r="K115" s="13"/>
      <c r="L115" s="13"/>
      <c r="M115" s="13"/>
      <c r="N115" s="13"/>
      <c r="O115" s="13"/>
      <c r="P115" s="13"/>
      <c r="Q115" s="13"/>
      <c r="R115" s="13"/>
      <c r="S115" s="13"/>
      <c r="T115" s="13"/>
      <c r="U115" s="13"/>
      <c r="V115" s="13"/>
      <c r="W115" s="13"/>
      <c r="X115" s="13"/>
      <c r="Y115" s="13"/>
      <c r="Z115" s="13"/>
      <c r="AA115" s="13"/>
    </row>
    <row r="116" spans="5:56" ht="6.6" customHeight="1" x14ac:dyDescent="0.2">
      <c r="E116" s="154" t="str">
        <f>AH57</f>
        <v>Btm</v>
      </c>
      <c r="F116" s="123" t="str">
        <f>IF(AI57="","",FIXED(AI57,2))</f>
        <v>-128.99</v>
      </c>
      <c r="G116" s="126"/>
      <c r="H116" s="13"/>
      <c r="I116" s="13"/>
      <c r="J116" s="13"/>
      <c r="K116" s="13"/>
      <c r="L116" s="13"/>
      <c r="M116" s="13"/>
      <c r="N116" s="13"/>
      <c r="O116" s="13"/>
      <c r="P116" s="13"/>
      <c r="Q116" s="13"/>
      <c r="R116" s="13"/>
      <c r="S116" s="13"/>
      <c r="T116" s="13"/>
      <c r="U116" s="13"/>
      <c r="V116" s="13"/>
      <c r="W116" s="13"/>
      <c r="X116" s="13"/>
      <c r="Y116" s="13"/>
      <c r="Z116" s="13"/>
      <c r="AA116" s="13"/>
    </row>
    <row r="117" spans="5:56" ht="6.6" customHeight="1" x14ac:dyDescent="0.25">
      <c r="E117" s="129"/>
      <c r="F117" s="124"/>
      <c r="G117" s="82"/>
      <c r="H117" s="13"/>
      <c r="I117" s="13"/>
      <c r="J117" s="13"/>
      <c r="K117" s="13"/>
      <c r="L117" s="13"/>
      <c r="M117" s="13"/>
      <c r="N117" s="13"/>
      <c r="O117" s="13"/>
      <c r="P117" s="13"/>
      <c r="Q117" s="13"/>
      <c r="R117" s="13"/>
      <c r="S117" s="13"/>
      <c r="T117" s="13"/>
      <c r="U117" s="13"/>
      <c r="V117" s="13"/>
      <c r="W117" s="13"/>
      <c r="X117" s="13"/>
      <c r="Y117" s="13"/>
      <c r="Z117" s="13"/>
      <c r="AA117" s="13"/>
    </row>
    <row r="118" spans="5:56" ht="12" customHeight="1" x14ac:dyDescent="0.2">
      <c r="E118" s="8"/>
      <c r="F118" s="8"/>
      <c r="G118" s="3" t="s">
        <v>402</v>
      </c>
      <c r="H118" s="161" t="str">
        <f>IF(AK119="",H69,CONCATENATE(H69," (",FIXED(AK119,2),")"))</f>
        <v>A (-45.00)</v>
      </c>
      <c r="I118" s="162"/>
      <c r="J118" s="161" t="str">
        <f>IF(AM119="",J69,CONCATENATE(J69," (",FIXED(AM119,2),")"))</f>
        <v>B (-20.00)</v>
      </c>
      <c r="K118" s="162"/>
      <c r="L118" s="161" t="str">
        <f>IF(AO119="",L69,CONCATENATE(L69," (",FIXED(AO119,2),")"))</f>
        <v>C (-5.00)</v>
      </c>
      <c r="M118" s="162"/>
      <c r="N118" s="161" t="str">
        <f>IF(AQ119="",N69,CONCATENATE(N69," (",FIXED(AQ119,2),")"))</f>
        <v>D (20.00)</v>
      </c>
      <c r="O118" s="162"/>
      <c r="P118" s="161" t="str">
        <f>IF(AS119="",P69,CONCATENATE(P69," (",FIXED(AS119,2),")"))</f>
        <v>E</v>
      </c>
      <c r="Q118" s="162"/>
      <c r="R118" s="161" t="str">
        <f>IF(AU119="",R69,CONCATENATE(R69," (",FIXED(AU119,2),")"))</f>
        <v>H</v>
      </c>
      <c r="S118" s="162"/>
      <c r="T118" s="161" t="str">
        <f>IF(AW119="",T69,CONCATENATE(T69," (",FIXED(AW119,2),")"))</f>
        <v>I</v>
      </c>
      <c r="U118" s="162"/>
      <c r="V118" s="161" t="str">
        <f>IF(AY119="",V69,CONCATENATE(V69," (",FIXED(AY119,2),")"))</f>
        <v>J</v>
      </c>
      <c r="W118" s="162"/>
      <c r="X118" s="161" t="str">
        <f>IF(BA119="",X69,CONCATENATE(X69," (",FIXED(BA119,2),")"))</f>
        <v>K</v>
      </c>
      <c r="Y118" s="162"/>
      <c r="Z118" s="161" t="str">
        <f>IF(BC119="",Z69,CONCATENATE(Z69," (",FIXED(BC119,2),")"))</f>
        <v>L</v>
      </c>
      <c r="AA118" s="162"/>
      <c r="AJ118" s="33" t="s">
        <v>152</v>
      </c>
      <c r="AK118" s="161" t="s">
        <v>6</v>
      </c>
      <c r="AL118" s="162"/>
      <c r="AM118" s="161" t="s">
        <v>7</v>
      </c>
      <c r="AN118" s="162"/>
      <c r="AO118" s="161" t="s">
        <v>8</v>
      </c>
      <c r="AP118" s="162"/>
      <c r="AQ118" s="161" t="s">
        <v>9</v>
      </c>
      <c r="AR118" s="162"/>
      <c r="AS118" s="161" t="s">
        <v>10</v>
      </c>
      <c r="AT118" s="162"/>
      <c r="AU118" s="161" t="s">
        <v>11</v>
      </c>
      <c r="AV118" s="162"/>
      <c r="AW118" s="161" t="s">
        <v>12</v>
      </c>
      <c r="AX118" s="162"/>
      <c r="AY118" s="161" t="s">
        <v>13</v>
      </c>
      <c r="AZ118" s="162"/>
      <c r="BA118" s="161" t="s">
        <v>14</v>
      </c>
      <c r="BB118" s="162"/>
      <c r="BC118" s="161" t="s">
        <v>157</v>
      </c>
      <c r="BD118" s="162"/>
    </row>
    <row r="119" spans="5:56" ht="12" customHeight="1" x14ac:dyDescent="0.2">
      <c r="E119" s="8"/>
      <c r="F119" s="8"/>
      <c r="G119" s="38" t="s">
        <v>156</v>
      </c>
      <c r="H119" s="151">
        <v>-45</v>
      </c>
      <c r="I119" s="152"/>
      <c r="J119" s="151"/>
      <c r="K119" s="152"/>
      <c r="L119" s="151"/>
      <c r="M119" s="152"/>
      <c r="N119" s="151"/>
      <c r="O119" s="152"/>
      <c r="P119" s="151"/>
      <c r="Q119" s="152"/>
      <c r="R119" s="151"/>
      <c r="S119" s="152"/>
      <c r="T119" s="151"/>
      <c r="U119" s="152"/>
      <c r="V119" s="151"/>
      <c r="W119" s="152"/>
      <c r="X119" s="151"/>
      <c r="Y119" s="152"/>
      <c r="Z119" s="151"/>
      <c r="AA119" s="152"/>
      <c r="AJ119" s="34" t="s">
        <v>151</v>
      </c>
      <c r="AK119" s="160">
        <f>H119</f>
        <v>-45</v>
      </c>
      <c r="AL119" s="153"/>
      <c r="AM119" s="149">
        <f>IF(J119="",IF(I120="","",AK119+I120),J119)</f>
        <v>-20</v>
      </c>
      <c r="AN119" s="153"/>
      <c r="AO119" s="149">
        <f>IF(L119="",IF(K120="","",AM119+K120),L119)</f>
        <v>-5</v>
      </c>
      <c r="AP119" s="153"/>
      <c r="AQ119" s="149">
        <f>IF(N119="",IF(M120="","",AO119+M120),N119)</f>
        <v>20</v>
      </c>
      <c r="AR119" s="153"/>
      <c r="AS119" s="149" t="str">
        <f>IF(P119="",IF(O120="","",AQ119+O120),P119)</f>
        <v/>
      </c>
      <c r="AT119" s="153"/>
      <c r="AU119" s="149" t="str">
        <f>IF(R119="",IF(Q120="","",AS119+Q120),R119)</f>
        <v/>
      </c>
      <c r="AV119" s="153"/>
      <c r="AW119" s="149" t="str">
        <f>IF(T119="",IF(S120="","",AU119+S120),T119)</f>
        <v/>
      </c>
      <c r="AX119" s="153"/>
      <c r="AY119" s="149" t="str">
        <f>IF(V119="",IF(U120="","",AW119+U120),V119)</f>
        <v/>
      </c>
      <c r="AZ119" s="153"/>
      <c r="BA119" s="149" t="str">
        <f>IF(X119="",IF(W120="","",AY119+W120),X119)</f>
        <v/>
      </c>
      <c r="BB119" s="153"/>
      <c r="BC119" s="149" t="str">
        <f>IF(Z119="",IF(Y120="","",BA119+Y120),Z119)</f>
        <v/>
      </c>
      <c r="BD119" s="153"/>
    </row>
    <row r="120" spans="5:56" ht="12" customHeight="1" x14ac:dyDescent="0.2">
      <c r="E120" s="8"/>
      <c r="F120" s="8"/>
      <c r="G120" s="32" t="s">
        <v>149</v>
      </c>
      <c r="H120" s="30"/>
      <c r="I120" s="151">
        <v>25</v>
      </c>
      <c r="J120" s="152"/>
      <c r="K120" s="151">
        <v>15</v>
      </c>
      <c r="L120" s="152"/>
      <c r="M120" s="151">
        <v>25</v>
      </c>
      <c r="N120" s="152"/>
      <c r="O120" s="151"/>
      <c r="P120" s="152"/>
      <c r="Q120" s="151"/>
      <c r="R120" s="152"/>
      <c r="S120" s="31"/>
      <c r="T120" s="31"/>
      <c r="U120" s="151"/>
      <c r="V120" s="152"/>
      <c r="W120" s="151"/>
      <c r="X120" s="152"/>
      <c r="Y120" s="151"/>
      <c r="Z120" s="152"/>
      <c r="AA120" s="28"/>
      <c r="AJ120" s="32" t="s">
        <v>149</v>
      </c>
      <c r="AK120" s="3"/>
      <c r="AL120" s="149">
        <f>IF(J119="",IF(I120="","",I120),AM119-AK119)</f>
        <v>25</v>
      </c>
      <c r="AM120" s="150"/>
      <c r="AN120" s="149">
        <f>IF(L119="",IF(K120="","",K120),AO119-AM119)</f>
        <v>15</v>
      </c>
      <c r="AO120" s="150"/>
      <c r="AP120" s="149">
        <f>IF(N119="",IF(M120="","",M120),AQ119-AO119)</f>
        <v>25</v>
      </c>
      <c r="AQ120" s="150"/>
      <c r="AR120" s="149" t="str">
        <f>IF(P119="",IF(O120="","",O120),AS119-AQ119)</f>
        <v/>
      </c>
      <c r="AS120" s="150"/>
      <c r="AT120" s="149" t="str">
        <f>IF(R119="",IF(Q120="","",Q120),AU119-AS119)</f>
        <v/>
      </c>
      <c r="AU120" s="150"/>
      <c r="AV120" s="149" t="str">
        <f>IF(T119="",IF(S120="","",S120),AW119-AU119)</f>
        <v/>
      </c>
      <c r="AW120" s="150"/>
      <c r="AX120" s="149" t="str">
        <f>IF(V119="",IF(U120="","",U120),AY119-AW119)</f>
        <v/>
      </c>
      <c r="AY120" s="150"/>
      <c r="AZ120" s="149" t="str">
        <f>IF(X119="",IF(W120="","",W120),BA119-AY119)</f>
        <v/>
      </c>
      <c r="BA120" s="150"/>
      <c r="BB120" s="149" t="str">
        <f>IF(Z119="",IF(Y120="","",Y120),BC119-BA119)</f>
        <v/>
      </c>
      <c r="BC120" s="150"/>
      <c r="BD120" s="28"/>
    </row>
    <row r="121" spans="5:56" x14ac:dyDescent="0.2">
      <c r="F121" s="8"/>
      <c r="H121" s="5"/>
      <c r="I121" s="5"/>
      <c r="J121" s="5"/>
      <c r="K121" s="5"/>
      <c r="L121" s="5"/>
      <c r="M121" s="5"/>
      <c r="N121" s="5"/>
      <c r="O121" s="5"/>
      <c r="P121" s="5"/>
      <c r="Q121" s="5"/>
      <c r="R121" s="5"/>
      <c r="S121" s="5"/>
      <c r="T121" s="5"/>
      <c r="U121" s="5"/>
      <c r="V121" s="5"/>
      <c r="W121" s="5"/>
      <c r="X121" s="5"/>
      <c r="Y121" s="5"/>
      <c r="Z121" s="5"/>
      <c r="AA121" s="5"/>
      <c r="AB121" s="5"/>
      <c r="AC121" s="5"/>
    </row>
    <row r="122" spans="5:56" x14ac:dyDescent="0.2">
      <c r="H122" s="5"/>
      <c r="I122" s="5"/>
      <c r="J122" s="5"/>
      <c r="K122" s="5"/>
      <c r="L122" s="5"/>
      <c r="M122" s="5"/>
      <c r="N122" s="5"/>
      <c r="O122" s="5"/>
      <c r="P122" s="5"/>
      <c r="Q122" s="5"/>
      <c r="R122" s="5"/>
      <c r="S122" s="5"/>
      <c r="T122" s="5"/>
      <c r="U122" s="5"/>
      <c r="V122" s="5"/>
      <c r="W122" s="5"/>
      <c r="X122" s="5"/>
      <c r="Y122" s="5"/>
      <c r="Z122" s="5"/>
      <c r="AA122" s="5"/>
      <c r="AB122" s="5"/>
      <c r="AC122" s="5"/>
    </row>
    <row r="123" spans="5:56" x14ac:dyDescent="0.2">
      <c r="H123" s="5"/>
      <c r="I123" s="5"/>
      <c r="J123" s="5"/>
      <c r="K123" s="5"/>
      <c r="L123" s="5"/>
      <c r="M123" s="5"/>
      <c r="N123" s="5"/>
      <c r="O123" s="5"/>
      <c r="P123" s="5"/>
      <c r="Q123" s="5"/>
      <c r="R123" s="5"/>
      <c r="S123" s="5"/>
      <c r="T123" s="5"/>
      <c r="U123" s="5"/>
      <c r="V123" s="5"/>
      <c r="W123" s="5"/>
      <c r="X123" s="5"/>
      <c r="Y123" s="5"/>
      <c r="Z123" s="5"/>
      <c r="AA123" s="5"/>
      <c r="AB123" s="5"/>
      <c r="AC123" s="5"/>
    </row>
    <row r="124" spans="5:56" x14ac:dyDescent="0.2">
      <c r="H124" s="5"/>
      <c r="I124" s="5"/>
      <c r="J124" s="5"/>
      <c r="K124" s="5"/>
      <c r="L124" s="5"/>
      <c r="M124" s="5"/>
      <c r="N124" s="5"/>
      <c r="O124" s="5"/>
      <c r="P124" s="5"/>
      <c r="Q124" s="5"/>
      <c r="R124" s="5"/>
      <c r="S124" s="5"/>
      <c r="T124" s="5"/>
      <c r="U124" s="5"/>
      <c r="V124" s="5"/>
      <c r="W124" s="5"/>
      <c r="X124" s="5"/>
      <c r="Y124" s="5"/>
      <c r="Z124" s="5"/>
      <c r="AA124" s="5"/>
      <c r="AB124" s="5"/>
      <c r="AC124" s="5"/>
    </row>
    <row r="125" spans="5:56" x14ac:dyDescent="0.2">
      <c r="F125" s="8"/>
      <c r="H125" s="5"/>
      <c r="I125" s="5"/>
      <c r="J125" s="5"/>
      <c r="K125" s="5"/>
      <c r="L125" s="5"/>
      <c r="M125" s="5"/>
      <c r="N125" s="5"/>
      <c r="O125" s="5"/>
      <c r="P125" s="5"/>
      <c r="Q125" s="5"/>
      <c r="R125" s="5"/>
      <c r="S125" s="5"/>
      <c r="T125" s="5"/>
      <c r="U125" s="5"/>
      <c r="V125" s="5"/>
      <c r="W125" s="5"/>
      <c r="X125" s="5"/>
      <c r="Y125" s="5"/>
      <c r="Z125" s="5"/>
      <c r="AA125" s="5"/>
      <c r="AB125" s="5"/>
      <c r="AC125" s="5"/>
    </row>
    <row r="126" spans="5:56" x14ac:dyDescent="0.2">
      <c r="H126" s="5"/>
      <c r="I126" s="5"/>
      <c r="J126" s="5"/>
      <c r="K126" s="5"/>
      <c r="L126" s="5"/>
      <c r="M126" s="5"/>
      <c r="N126" s="5"/>
      <c r="O126" s="5"/>
      <c r="P126" s="5"/>
      <c r="Q126" s="5"/>
      <c r="R126" s="5"/>
      <c r="S126" s="5"/>
      <c r="T126" s="5"/>
      <c r="U126" s="5"/>
      <c r="V126" s="5"/>
      <c r="W126" s="5"/>
      <c r="X126" s="5"/>
      <c r="Y126" s="5"/>
      <c r="Z126" s="5"/>
      <c r="AA126" s="5"/>
      <c r="AB126" s="5"/>
      <c r="AC126" s="5"/>
    </row>
    <row r="127" spans="5:56" x14ac:dyDescent="0.2">
      <c r="H127" s="5"/>
      <c r="I127" s="5"/>
      <c r="J127" s="5"/>
      <c r="K127" s="5"/>
      <c r="L127" s="5"/>
      <c r="M127" s="5"/>
      <c r="N127" s="5"/>
      <c r="O127" s="5"/>
      <c r="P127" s="5"/>
      <c r="Q127" s="5"/>
      <c r="R127" s="5"/>
      <c r="S127" s="5"/>
      <c r="T127" s="5"/>
      <c r="U127" s="5"/>
      <c r="V127" s="5"/>
      <c r="W127" s="5"/>
      <c r="X127" s="5"/>
      <c r="Y127" s="5"/>
      <c r="Z127" s="5"/>
      <c r="AA127" s="5"/>
      <c r="AB127" s="5"/>
      <c r="AC127" s="5"/>
    </row>
    <row r="128" spans="5:56" x14ac:dyDescent="0.2">
      <c r="H128" s="5"/>
      <c r="I128" s="5"/>
      <c r="J128" s="5"/>
      <c r="K128" s="5"/>
      <c r="L128" s="5"/>
      <c r="M128" s="5"/>
      <c r="N128" s="5"/>
      <c r="O128" s="5"/>
      <c r="P128" s="5"/>
      <c r="Q128" s="5"/>
      <c r="R128" s="5"/>
      <c r="S128" s="5"/>
      <c r="T128" s="5"/>
      <c r="U128" s="5"/>
      <c r="V128" s="5"/>
      <c r="W128" s="5"/>
      <c r="X128" s="5"/>
      <c r="Y128" s="5"/>
      <c r="Z128" s="5"/>
      <c r="AA128" s="5"/>
      <c r="AB128" s="5"/>
      <c r="AC128" s="5"/>
    </row>
    <row r="129" spans="8:29" x14ac:dyDescent="0.2">
      <c r="H129" s="5"/>
      <c r="I129" s="5"/>
      <c r="J129" s="5"/>
      <c r="K129" s="5"/>
      <c r="L129" s="5"/>
      <c r="M129" s="5"/>
      <c r="N129" s="5"/>
      <c r="O129" s="5"/>
      <c r="P129" s="5"/>
      <c r="Q129" s="5"/>
      <c r="R129" s="5"/>
      <c r="S129" s="5"/>
      <c r="T129" s="5"/>
      <c r="U129" s="5"/>
      <c r="V129" s="5"/>
      <c r="W129" s="5"/>
      <c r="X129" s="5"/>
      <c r="Y129" s="5"/>
      <c r="Z129" s="5"/>
      <c r="AA129" s="5"/>
      <c r="AB129" s="5"/>
      <c r="AC129" s="5"/>
    </row>
    <row r="130" spans="8:29" x14ac:dyDescent="0.2">
      <c r="H130" s="5"/>
      <c r="I130" s="5"/>
      <c r="J130" s="5"/>
      <c r="K130" s="5"/>
      <c r="L130" s="5"/>
      <c r="M130" s="5"/>
      <c r="N130" s="5"/>
      <c r="O130" s="5"/>
      <c r="P130" s="5"/>
      <c r="Q130" s="5"/>
      <c r="R130" s="5"/>
      <c r="S130" s="5"/>
      <c r="T130" s="5"/>
      <c r="U130" s="5"/>
      <c r="V130" s="5"/>
      <c r="W130" s="5"/>
      <c r="X130" s="5"/>
      <c r="Y130" s="5"/>
      <c r="Z130" s="5"/>
      <c r="AA130" s="5"/>
      <c r="AB130" s="5"/>
      <c r="AC130" s="5"/>
    </row>
    <row r="131" spans="8:29" x14ac:dyDescent="0.2">
      <c r="H131" s="5"/>
      <c r="I131" s="5"/>
      <c r="J131" s="5"/>
      <c r="K131" s="5"/>
      <c r="L131" s="5"/>
      <c r="M131" s="5"/>
      <c r="N131" s="5"/>
      <c r="O131" s="5"/>
      <c r="P131" s="5"/>
      <c r="Q131" s="5"/>
      <c r="R131" s="5"/>
      <c r="S131" s="5"/>
      <c r="T131" s="5"/>
      <c r="U131" s="5"/>
      <c r="V131" s="5"/>
      <c r="W131" s="5"/>
      <c r="X131" s="5"/>
      <c r="Y131" s="5"/>
      <c r="Z131" s="5"/>
      <c r="AA131" s="5"/>
      <c r="AB131" s="5"/>
      <c r="AC131" s="5"/>
    </row>
    <row r="132" spans="8:29" x14ac:dyDescent="0.2">
      <c r="H132" s="5"/>
      <c r="I132" s="5"/>
      <c r="J132" s="5"/>
      <c r="K132" s="5"/>
      <c r="L132" s="5"/>
      <c r="M132" s="5"/>
      <c r="N132" s="5"/>
      <c r="O132" s="5"/>
      <c r="P132" s="5"/>
      <c r="Q132" s="5"/>
      <c r="R132" s="5"/>
      <c r="S132" s="5"/>
      <c r="T132" s="5"/>
      <c r="U132" s="5"/>
      <c r="V132" s="5"/>
      <c r="W132" s="5"/>
      <c r="X132" s="5"/>
      <c r="Y132" s="5"/>
      <c r="Z132" s="5"/>
      <c r="AA132" s="5"/>
      <c r="AB132" s="5"/>
      <c r="AC132" s="5"/>
    </row>
    <row r="133" spans="8:29" x14ac:dyDescent="0.2">
      <c r="H133" s="5"/>
      <c r="I133" s="5"/>
      <c r="J133" s="5"/>
      <c r="K133" s="5"/>
      <c r="L133" s="5"/>
      <c r="M133" s="5"/>
      <c r="N133" s="5"/>
      <c r="O133" s="5"/>
      <c r="P133" s="5"/>
      <c r="Q133" s="5"/>
      <c r="R133" s="5"/>
      <c r="S133" s="5"/>
      <c r="T133" s="5"/>
      <c r="U133" s="5"/>
      <c r="V133" s="5"/>
      <c r="W133" s="5"/>
      <c r="X133" s="5"/>
      <c r="Y133" s="5"/>
      <c r="Z133" s="5"/>
      <c r="AA133" s="5"/>
      <c r="AB133" s="5"/>
      <c r="AC133" s="5"/>
    </row>
    <row r="134" spans="8:29" x14ac:dyDescent="0.2">
      <c r="H134" s="5"/>
      <c r="I134" s="5"/>
      <c r="J134" s="5"/>
      <c r="K134" s="5"/>
      <c r="L134" s="5"/>
      <c r="M134" s="5"/>
      <c r="N134" s="5"/>
      <c r="O134" s="5"/>
      <c r="P134" s="5"/>
      <c r="Q134" s="5"/>
      <c r="R134" s="5"/>
      <c r="S134" s="5"/>
      <c r="T134" s="5"/>
      <c r="U134" s="5"/>
      <c r="V134" s="5"/>
      <c r="W134" s="5"/>
      <c r="X134" s="5"/>
      <c r="Y134" s="5"/>
      <c r="Z134" s="5"/>
      <c r="AA134" s="5"/>
      <c r="AB134" s="5"/>
      <c r="AC134" s="5"/>
    </row>
    <row r="135" spans="8:29" x14ac:dyDescent="0.2">
      <c r="H135" s="5"/>
      <c r="I135" s="5"/>
      <c r="J135" s="5"/>
      <c r="K135" s="5"/>
      <c r="L135" s="5"/>
      <c r="M135" s="5"/>
      <c r="N135" s="5"/>
      <c r="O135" s="5"/>
      <c r="P135" s="5"/>
      <c r="Q135" s="5"/>
      <c r="R135" s="5"/>
      <c r="S135" s="5"/>
      <c r="T135" s="5"/>
      <c r="U135" s="5"/>
      <c r="V135" s="5"/>
      <c r="W135" s="5"/>
      <c r="X135" s="5"/>
      <c r="Y135" s="5"/>
      <c r="Z135" s="5"/>
      <c r="AA135" s="5"/>
      <c r="AB135" s="5"/>
      <c r="AC135" s="5"/>
    </row>
    <row r="136" spans="8:29" x14ac:dyDescent="0.2">
      <c r="H136" s="5"/>
      <c r="I136" s="5"/>
      <c r="J136" s="5"/>
      <c r="K136" s="5"/>
      <c r="L136" s="5"/>
      <c r="M136" s="5"/>
      <c r="N136" s="5"/>
      <c r="O136" s="5"/>
      <c r="P136" s="5"/>
      <c r="Q136" s="5"/>
      <c r="R136" s="5"/>
      <c r="S136" s="5"/>
      <c r="T136" s="5"/>
      <c r="U136" s="5"/>
      <c r="V136" s="5"/>
      <c r="W136" s="5"/>
      <c r="X136" s="5"/>
      <c r="Y136" s="5"/>
      <c r="Z136" s="5"/>
      <c r="AA136" s="5"/>
      <c r="AB136" s="5"/>
      <c r="AC136" s="5"/>
    </row>
    <row r="137" spans="8:29" x14ac:dyDescent="0.2">
      <c r="H137" s="5"/>
      <c r="I137" s="5"/>
      <c r="J137" s="5"/>
      <c r="K137" s="5"/>
      <c r="L137" s="5"/>
      <c r="M137" s="5"/>
      <c r="N137" s="5"/>
      <c r="O137" s="5"/>
      <c r="P137" s="5"/>
      <c r="Q137" s="5"/>
      <c r="R137" s="5"/>
      <c r="S137" s="5"/>
      <c r="T137" s="5"/>
      <c r="U137" s="5"/>
      <c r="V137" s="5"/>
      <c r="W137" s="5"/>
      <c r="X137" s="5"/>
      <c r="Y137" s="5"/>
      <c r="Z137" s="5"/>
      <c r="AA137" s="5"/>
      <c r="AB137" s="5"/>
      <c r="AC137" s="5"/>
    </row>
    <row r="138" spans="8:29" x14ac:dyDescent="0.2">
      <c r="H138" s="5"/>
      <c r="I138" s="5"/>
      <c r="J138" s="5"/>
      <c r="K138" s="5"/>
      <c r="L138" s="5"/>
      <c r="M138" s="5"/>
      <c r="N138" s="5"/>
      <c r="O138" s="5"/>
      <c r="P138" s="5"/>
      <c r="Q138" s="5"/>
      <c r="R138" s="5"/>
      <c r="S138" s="5"/>
      <c r="T138" s="5"/>
      <c r="U138" s="5"/>
      <c r="V138" s="5"/>
      <c r="W138" s="5"/>
      <c r="X138" s="5"/>
      <c r="Y138" s="5"/>
      <c r="Z138" s="5"/>
      <c r="AA138" s="5"/>
      <c r="AB138" s="5"/>
      <c r="AC138" s="5"/>
    </row>
    <row r="139" spans="8:29" x14ac:dyDescent="0.2">
      <c r="H139" s="5"/>
      <c r="I139" s="5"/>
      <c r="J139" s="5"/>
      <c r="K139" s="5"/>
      <c r="L139" s="5"/>
      <c r="M139" s="5"/>
      <c r="N139" s="5"/>
      <c r="O139" s="5"/>
      <c r="P139" s="5"/>
      <c r="Q139" s="5"/>
      <c r="R139" s="5"/>
      <c r="S139" s="5"/>
      <c r="T139" s="5"/>
      <c r="U139" s="5"/>
      <c r="V139" s="5"/>
      <c r="W139" s="5"/>
      <c r="X139" s="5"/>
      <c r="Y139" s="5"/>
      <c r="Z139" s="5"/>
      <c r="AA139" s="5"/>
      <c r="AB139" s="5"/>
      <c r="AC139" s="5"/>
    </row>
    <row r="140" spans="8:29" x14ac:dyDescent="0.2">
      <c r="H140" s="5"/>
      <c r="I140" s="5"/>
      <c r="J140" s="5"/>
      <c r="K140" s="5"/>
      <c r="L140" s="5"/>
      <c r="M140" s="5"/>
      <c r="N140" s="5"/>
      <c r="O140" s="5"/>
      <c r="P140" s="5"/>
      <c r="Q140" s="5"/>
      <c r="R140" s="5"/>
      <c r="S140" s="5"/>
      <c r="T140" s="5"/>
      <c r="U140" s="5"/>
      <c r="V140" s="5"/>
      <c r="W140" s="5"/>
      <c r="X140" s="5"/>
      <c r="Y140" s="5"/>
      <c r="Z140" s="5"/>
      <c r="AA140" s="5"/>
      <c r="AB140" s="5"/>
      <c r="AC140" s="5"/>
    </row>
    <row r="141" spans="8:29" x14ac:dyDescent="0.2">
      <c r="H141" s="5"/>
      <c r="I141" s="5"/>
      <c r="J141" s="5"/>
      <c r="K141" s="5"/>
      <c r="L141" s="5"/>
      <c r="M141" s="5"/>
      <c r="N141" s="5"/>
      <c r="O141" s="5"/>
      <c r="P141" s="5"/>
      <c r="Q141" s="5"/>
      <c r="R141" s="5"/>
      <c r="S141" s="5"/>
      <c r="T141" s="5"/>
      <c r="U141" s="5"/>
      <c r="V141" s="5"/>
      <c r="W141" s="5"/>
      <c r="X141" s="5"/>
      <c r="Y141" s="5"/>
      <c r="Z141" s="5"/>
      <c r="AA141" s="5"/>
      <c r="AB141" s="5"/>
      <c r="AC141" s="5"/>
    </row>
    <row r="142" spans="8:29" x14ac:dyDescent="0.2">
      <c r="H142" s="5"/>
      <c r="I142" s="5"/>
      <c r="J142" s="5"/>
      <c r="K142" s="5"/>
      <c r="L142" s="5"/>
      <c r="M142" s="5"/>
      <c r="N142" s="5"/>
      <c r="O142" s="5"/>
      <c r="P142" s="5"/>
      <c r="Q142" s="5"/>
      <c r="R142" s="5"/>
      <c r="S142" s="5"/>
      <c r="T142" s="5"/>
      <c r="U142" s="5"/>
      <c r="V142" s="5"/>
      <c r="W142" s="5"/>
      <c r="X142" s="5"/>
      <c r="Y142" s="5"/>
      <c r="Z142" s="5"/>
      <c r="AA142" s="5"/>
      <c r="AB142" s="5"/>
      <c r="AC142" s="5"/>
    </row>
    <row r="143" spans="8:29" x14ac:dyDescent="0.2">
      <c r="H143" s="5"/>
      <c r="I143" s="5"/>
      <c r="J143" s="5"/>
      <c r="K143" s="5"/>
      <c r="L143" s="5"/>
      <c r="M143" s="5"/>
      <c r="N143" s="5"/>
      <c r="O143" s="5"/>
      <c r="P143" s="5"/>
      <c r="Q143" s="5"/>
      <c r="R143" s="5"/>
      <c r="S143" s="5"/>
      <c r="T143" s="5"/>
      <c r="U143" s="5"/>
      <c r="V143" s="5"/>
      <c r="W143" s="5"/>
      <c r="X143" s="5"/>
      <c r="Y143" s="5"/>
      <c r="Z143" s="5"/>
      <c r="AA143" s="5"/>
      <c r="AB143" s="5"/>
      <c r="AC143" s="5"/>
    </row>
    <row r="144" spans="8:29" x14ac:dyDescent="0.2">
      <c r="H144" s="5"/>
      <c r="I144" s="5"/>
      <c r="J144" s="5"/>
      <c r="K144" s="5"/>
      <c r="L144" s="5"/>
      <c r="M144" s="5"/>
      <c r="N144" s="5"/>
      <c r="O144" s="5"/>
      <c r="P144" s="5"/>
      <c r="Q144" s="5"/>
      <c r="R144" s="5"/>
      <c r="S144" s="5"/>
      <c r="T144" s="5"/>
      <c r="U144" s="5"/>
      <c r="V144" s="5"/>
      <c r="W144" s="5"/>
      <c r="X144" s="5"/>
      <c r="Y144" s="5"/>
      <c r="Z144" s="5"/>
      <c r="AA144" s="5"/>
      <c r="AB144" s="5"/>
      <c r="AC144" s="5"/>
    </row>
    <row r="145" spans="8:29" x14ac:dyDescent="0.2">
      <c r="H145" s="5"/>
      <c r="I145" s="5"/>
      <c r="J145" s="5"/>
      <c r="K145" s="5"/>
      <c r="L145" s="5"/>
      <c r="M145" s="5"/>
      <c r="N145" s="5"/>
      <c r="O145" s="5"/>
      <c r="P145" s="5"/>
      <c r="Q145" s="5"/>
      <c r="R145" s="5"/>
      <c r="S145" s="5"/>
      <c r="T145" s="5"/>
      <c r="U145" s="5"/>
      <c r="V145" s="5"/>
      <c r="W145" s="5"/>
      <c r="X145" s="5"/>
      <c r="Y145" s="5"/>
      <c r="Z145" s="5"/>
      <c r="AA145" s="5"/>
      <c r="AB145" s="5"/>
      <c r="AC145" s="5"/>
    </row>
    <row r="146" spans="8:29" x14ac:dyDescent="0.2">
      <c r="H146" s="5"/>
      <c r="I146" s="5"/>
      <c r="J146" s="5"/>
      <c r="K146" s="5"/>
      <c r="L146" s="5"/>
      <c r="M146" s="5"/>
      <c r="N146" s="5"/>
      <c r="O146" s="5"/>
      <c r="P146" s="5"/>
      <c r="Q146" s="5"/>
      <c r="R146" s="5"/>
      <c r="S146" s="5"/>
      <c r="T146" s="5"/>
      <c r="U146" s="5"/>
      <c r="V146" s="5"/>
      <c r="W146" s="5"/>
      <c r="X146" s="5"/>
      <c r="Y146" s="5"/>
      <c r="Z146" s="5"/>
      <c r="AA146" s="5"/>
      <c r="AB146" s="5"/>
      <c r="AC146" s="5"/>
    </row>
    <row r="147" spans="8:29" x14ac:dyDescent="0.2">
      <c r="H147" s="5"/>
      <c r="I147" s="5"/>
      <c r="J147" s="5"/>
      <c r="K147" s="5"/>
      <c r="L147" s="5"/>
      <c r="M147" s="5"/>
      <c r="N147" s="5"/>
      <c r="O147" s="5"/>
      <c r="P147" s="5"/>
      <c r="Q147" s="5"/>
      <c r="R147" s="5"/>
      <c r="S147" s="5"/>
      <c r="T147" s="5"/>
      <c r="U147" s="5"/>
      <c r="V147" s="5"/>
      <c r="W147" s="5"/>
      <c r="X147" s="5"/>
      <c r="Y147" s="5"/>
      <c r="Z147" s="5"/>
      <c r="AA147" s="5"/>
      <c r="AB147" s="5"/>
      <c r="AC147" s="5"/>
    </row>
    <row r="148" spans="8:29" x14ac:dyDescent="0.2">
      <c r="H148" s="5"/>
      <c r="I148" s="5"/>
      <c r="J148" s="5"/>
      <c r="K148" s="5"/>
      <c r="L148" s="5"/>
      <c r="M148" s="5"/>
      <c r="N148" s="5"/>
      <c r="O148" s="5"/>
      <c r="P148" s="5"/>
      <c r="Q148" s="5"/>
      <c r="R148" s="5"/>
      <c r="S148" s="5"/>
      <c r="T148" s="5"/>
      <c r="U148" s="5"/>
      <c r="V148" s="5"/>
      <c r="W148" s="5"/>
      <c r="X148" s="5"/>
      <c r="Y148" s="5"/>
      <c r="Z148" s="5"/>
      <c r="AA148" s="5"/>
      <c r="AB148" s="5"/>
      <c r="AC148" s="5"/>
    </row>
    <row r="149" spans="8:29" x14ac:dyDescent="0.2">
      <c r="H149" s="5"/>
      <c r="I149" s="5"/>
      <c r="J149" s="5"/>
      <c r="K149" s="5"/>
      <c r="L149" s="5"/>
      <c r="M149" s="5"/>
      <c r="N149" s="5"/>
      <c r="O149" s="5"/>
      <c r="P149" s="5"/>
      <c r="Q149" s="5"/>
      <c r="R149" s="5"/>
      <c r="S149" s="5"/>
      <c r="T149" s="5"/>
      <c r="U149" s="5"/>
      <c r="V149" s="5"/>
      <c r="W149" s="5"/>
      <c r="X149" s="5"/>
      <c r="Y149" s="5"/>
      <c r="Z149" s="5"/>
      <c r="AA149" s="5"/>
      <c r="AB149" s="5"/>
      <c r="AC149" s="5"/>
    </row>
    <row r="150" spans="8:29" x14ac:dyDescent="0.2">
      <c r="H150" s="5"/>
      <c r="I150" s="5"/>
      <c r="J150" s="5"/>
      <c r="K150" s="5"/>
      <c r="L150" s="5"/>
      <c r="M150" s="5"/>
      <c r="N150" s="5"/>
      <c r="O150" s="5"/>
      <c r="P150" s="5"/>
      <c r="Q150" s="5"/>
      <c r="R150" s="5"/>
      <c r="S150" s="5"/>
      <c r="T150" s="5"/>
      <c r="U150" s="5"/>
      <c r="V150" s="5"/>
      <c r="W150" s="5"/>
      <c r="X150" s="5"/>
      <c r="Y150" s="5"/>
      <c r="Z150" s="5"/>
      <c r="AA150" s="5"/>
      <c r="AB150" s="5"/>
      <c r="AC150" s="5"/>
    </row>
    <row r="151" spans="8:29" x14ac:dyDescent="0.2">
      <c r="H151" s="5"/>
      <c r="I151" s="5"/>
      <c r="J151" s="5"/>
      <c r="K151" s="5"/>
      <c r="L151" s="5"/>
      <c r="M151" s="5"/>
      <c r="N151" s="5"/>
      <c r="O151" s="5"/>
      <c r="P151" s="5"/>
      <c r="Q151" s="5"/>
      <c r="R151" s="5"/>
      <c r="S151" s="5"/>
      <c r="T151" s="5"/>
      <c r="U151" s="5"/>
      <c r="V151" s="5"/>
      <c r="W151" s="5"/>
      <c r="X151" s="5"/>
      <c r="Y151" s="5"/>
      <c r="Z151" s="5"/>
      <c r="AA151" s="5"/>
      <c r="AB151" s="5"/>
      <c r="AC151" s="5"/>
    </row>
    <row r="152" spans="8:29" x14ac:dyDescent="0.2">
      <c r="H152" s="5"/>
      <c r="I152" s="5"/>
      <c r="J152" s="5"/>
      <c r="K152" s="5"/>
      <c r="L152" s="5"/>
      <c r="M152" s="5"/>
      <c r="N152" s="5"/>
      <c r="O152" s="5"/>
      <c r="P152" s="5"/>
      <c r="Q152" s="5"/>
      <c r="R152" s="5"/>
      <c r="S152" s="5"/>
      <c r="T152" s="5"/>
      <c r="U152" s="5"/>
      <c r="V152" s="5"/>
      <c r="W152" s="5"/>
      <c r="X152" s="5"/>
      <c r="Y152" s="5"/>
      <c r="Z152" s="5"/>
      <c r="AA152" s="5"/>
      <c r="AB152" s="5"/>
      <c r="AC152" s="5"/>
    </row>
    <row r="153" spans="8:29" x14ac:dyDescent="0.2">
      <c r="H153" s="5"/>
      <c r="I153" s="5"/>
      <c r="J153" s="5"/>
      <c r="K153" s="5"/>
      <c r="L153" s="5"/>
      <c r="M153" s="5"/>
      <c r="N153" s="5"/>
      <c r="O153" s="5"/>
      <c r="P153" s="5"/>
      <c r="Q153" s="5"/>
      <c r="R153" s="5"/>
      <c r="S153" s="5"/>
      <c r="T153" s="5"/>
      <c r="U153" s="5"/>
      <c r="V153" s="5"/>
      <c r="W153" s="5"/>
      <c r="X153" s="5"/>
      <c r="Y153" s="5"/>
      <c r="Z153" s="5"/>
      <c r="AA153" s="5"/>
      <c r="AB153" s="5"/>
      <c r="AC153" s="5"/>
    </row>
    <row r="154" spans="8:29" x14ac:dyDescent="0.2">
      <c r="H154" s="5"/>
      <c r="I154" s="5"/>
      <c r="J154" s="5"/>
      <c r="K154" s="5"/>
      <c r="L154" s="5"/>
      <c r="M154" s="5"/>
      <c r="N154" s="5"/>
      <c r="O154" s="5"/>
      <c r="P154" s="5"/>
      <c r="Q154" s="5"/>
      <c r="R154" s="5"/>
      <c r="S154" s="5"/>
      <c r="T154" s="5"/>
      <c r="U154" s="5"/>
      <c r="V154" s="5"/>
      <c r="W154" s="5"/>
      <c r="X154" s="5"/>
      <c r="Y154" s="5"/>
      <c r="Z154" s="5"/>
      <c r="AA154" s="5"/>
      <c r="AB154" s="5"/>
      <c r="AC154" s="5"/>
    </row>
    <row r="155" spans="8:29" x14ac:dyDescent="0.2">
      <c r="H155" s="5"/>
      <c r="I155" s="5"/>
      <c r="J155" s="5"/>
      <c r="K155" s="5"/>
      <c r="L155" s="5"/>
      <c r="M155" s="5"/>
      <c r="N155" s="5"/>
      <c r="O155" s="5"/>
      <c r="P155" s="5"/>
      <c r="Q155" s="5"/>
      <c r="R155" s="5"/>
      <c r="S155" s="5"/>
      <c r="T155" s="5"/>
      <c r="U155" s="5"/>
      <c r="V155" s="5"/>
      <c r="W155" s="5"/>
      <c r="X155" s="5"/>
      <c r="Y155" s="5"/>
      <c r="Z155" s="5"/>
      <c r="AA155" s="5"/>
      <c r="AB155" s="5"/>
      <c r="AC155" s="5"/>
    </row>
    <row r="156" spans="8:29" x14ac:dyDescent="0.2">
      <c r="H156" s="5"/>
      <c r="I156" s="5"/>
      <c r="J156" s="5"/>
      <c r="K156" s="5"/>
      <c r="L156" s="5"/>
      <c r="M156" s="5"/>
      <c r="N156" s="5"/>
      <c r="O156" s="5"/>
      <c r="P156" s="5"/>
      <c r="Q156" s="5"/>
      <c r="R156" s="5"/>
      <c r="S156" s="5"/>
      <c r="T156" s="5"/>
      <c r="U156" s="5"/>
      <c r="V156" s="5"/>
      <c r="W156" s="5"/>
      <c r="X156" s="5"/>
      <c r="Y156" s="5"/>
      <c r="Z156" s="5"/>
      <c r="AA156" s="5"/>
      <c r="AB156" s="5"/>
      <c r="AC156" s="5"/>
    </row>
    <row r="157" spans="8:29" x14ac:dyDescent="0.2">
      <c r="H157" s="5"/>
      <c r="I157" s="5"/>
      <c r="J157" s="5"/>
      <c r="K157" s="5"/>
      <c r="L157" s="5"/>
      <c r="M157" s="5"/>
      <c r="N157" s="5"/>
      <c r="O157" s="5"/>
      <c r="P157" s="5"/>
      <c r="Q157" s="5"/>
      <c r="R157" s="5"/>
      <c r="S157" s="5"/>
      <c r="T157" s="5"/>
      <c r="U157" s="5"/>
      <c r="V157" s="5"/>
      <c r="W157" s="5"/>
      <c r="X157" s="5"/>
      <c r="Y157" s="5"/>
      <c r="Z157" s="5"/>
      <c r="AA157" s="5"/>
      <c r="AB157" s="5"/>
      <c r="AC157" s="5"/>
    </row>
    <row r="158" spans="8:29" x14ac:dyDescent="0.2">
      <c r="H158" s="5"/>
      <c r="I158" s="5"/>
      <c r="J158" s="5"/>
      <c r="K158" s="5"/>
      <c r="L158" s="5"/>
      <c r="M158" s="5"/>
      <c r="N158" s="5"/>
      <c r="O158" s="5"/>
      <c r="P158" s="5"/>
      <c r="Q158" s="5"/>
      <c r="R158" s="5"/>
      <c r="S158" s="5"/>
      <c r="T158" s="5"/>
      <c r="U158" s="5"/>
      <c r="V158" s="5"/>
      <c r="W158" s="5"/>
      <c r="X158" s="5"/>
      <c r="Y158" s="5"/>
      <c r="Z158" s="5"/>
      <c r="AA158" s="5"/>
      <c r="AB158" s="5"/>
      <c r="AC158" s="5"/>
    </row>
    <row r="159" spans="8:29" x14ac:dyDescent="0.2">
      <c r="H159" s="5"/>
      <c r="I159" s="5"/>
      <c r="J159" s="5"/>
      <c r="K159" s="5"/>
      <c r="L159" s="5"/>
      <c r="M159" s="5"/>
      <c r="N159" s="5"/>
      <c r="O159" s="5"/>
      <c r="P159" s="5"/>
      <c r="Q159" s="5"/>
      <c r="R159" s="5"/>
      <c r="S159" s="5"/>
      <c r="T159" s="5"/>
      <c r="U159" s="5"/>
      <c r="V159" s="5"/>
      <c r="W159" s="5"/>
      <c r="X159" s="5"/>
      <c r="Y159" s="5"/>
      <c r="Z159" s="5"/>
      <c r="AA159" s="5"/>
      <c r="AB159" s="5"/>
      <c r="AC159" s="5"/>
    </row>
    <row r="160" spans="8:29" x14ac:dyDescent="0.2">
      <c r="H160" s="5"/>
      <c r="I160" s="5"/>
      <c r="J160" s="5"/>
      <c r="K160" s="5"/>
      <c r="L160" s="5"/>
      <c r="M160" s="5"/>
      <c r="N160" s="5"/>
      <c r="O160" s="5"/>
      <c r="P160" s="5"/>
      <c r="Q160" s="5"/>
      <c r="R160" s="5"/>
      <c r="S160" s="5"/>
      <c r="T160" s="5"/>
      <c r="U160" s="5"/>
      <c r="V160" s="5"/>
      <c r="W160" s="5"/>
      <c r="X160" s="5"/>
      <c r="Y160" s="5"/>
      <c r="Z160" s="5"/>
      <c r="AA160" s="5"/>
      <c r="AB160" s="5"/>
      <c r="AC160" s="5"/>
    </row>
    <row r="161" spans="8:29" x14ac:dyDescent="0.2">
      <c r="H161" s="5"/>
      <c r="I161" s="5"/>
      <c r="J161" s="5"/>
      <c r="K161" s="5"/>
      <c r="L161" s="5"/>
      <c r="M161" s="5"/>
      <c r="N161" s="5"/>
      <c r="O161" s="5"/>
      <c r="P161" s="5"/>
      <c r="Q161" s="5"/>
      <c r="R161" s="5"/>
      <c r="S161" s="5"/>
      <c r="T161" s="5"/>
      <c r="U161" s="5"/>
      <c r="V161" s="5"/>
      <c r="W161" s="5"/>
      <c r="X161" s="5"/>
      <c r="Y161" s="5"/>
      <c r="Z161" s="5"/>
      <c r="AA161" s="5"/>
      <c r="AB161" s="5"/>
      <c r="AC161" s="5"/>
    </row>
    <row r="162" spans="8:29" x14ac:dyDescent="0.2">
      <c r="H162" s="5"/>
      <c r="I162" s="5"/>
      <c r="J162" s="5"/>
      <c r="K162" s="5"/>
      <c r="L162" s="5"/>
      <c r="M162" s="5"/>
      <c r="N162" s="5"/>
      <c r="O162" s="5"/>
      <c r="P162" s="5"/>
      <c r="Q162" s="5"/>
      <c r="R162" s="5"/>
      <c r="S162" s="5"/>
      <c r="T162" s="5"/>
      <c r="U162" s="5"/>
      <c r="V162" s="5"/>
      <c r="W162" s="5"/>
      <c r="X162" s="5"/>
      <c r="Y162" s="5"/>
      <c r="Z162" s="5"/>
      <c r="AA162" s="5"/>
      <c r="AB162" s="5"/>
      <c r="AC162" s="5"/>
    </row>
    <row r="163" spans="8:29" x14ac:dyDescent="0.2">
      <c r="H163" s="5"/>
      <c r="I163" s="5"/>
      <c r="J163" s="5"/>
      <c r="K163" s="5"/>
      <c r="L163" s="5"/>
      <c r="M163" s="5"/>
      <c r="N163" s="5"/>
      <c r="O163" s="5"/>
      <c r="P163" s="5"/>
      <c r="Q163" s="5"/>
      <c r="R163" s="5"/>
      <c r="S163" s="5"/>
      <c r="T163" s="5"/>
      <c r="U163" s="5"/>
      <c r="V163" s="5"/>
      <c r="W163" s="5"/>
      <c r="X163" s="5"/>
      <c r="Y163" s="5"/>
      <c r="Z163" s="5"/>
      <c r="AA163" s="5"/>
      <c r="AB163" s="5"/>
      <c r="AC163" s="5"/>
    </row>
    <row r="164" spans="8:29" x14ac:dyDescent="0.2">
      <c r="H164" s="5"/>
      <c r="I164" s="5"/>
      <c r="J164" s="5"/>
      <c r="K164" s="5"/>
      <c r="L164" s="5"/>
      <c r="M164" s="5"/>
      <c r="N164" s="5"/>
      <c r="O164" s="5"/>
      <c r="P164" s="5"/>
      <c r="Q164" s="5"/>
      <c r="R164" s="5"/>
      <c r="S164" s="5"/>
      <c r="T164" s="5"/>
      <c r="U164" s="5"/>
      <c r="V164" s="5"/>
      <c r="W164" s="5"/>
      <c r="X164" s="5"/>
      <c r="Y164" s="5"/>
      <c r="Z164" s="5"/>
      <c r="AA164" s="5"/>
      <c r="AB164" s="5"/>
      <c r="AC164" s="5"/>
    </row>
    <row r="165" spans="8:29" x14ac:dyDescent="0.2">
      <c r="H165" s="5"/>
      <c r="I165" s="5"/>
      <c r="J165" s="5"/>
      <c r="K165" s="5"/>
      <c r="L165" s="5"/>
      <c r="M165" s="5"/>
      <c r="N165" s="5"/>
      <c r="O165" s="5"/>
      <c r="P165" s="5"/>
      <c r="Q165" s="5"/>
      <c r="R165" s="5"/>
      <c r="S165" s="5"/>
      <c r="T165" s="5"/>
      <c r="U165" s="5"/>
      <c r="V165" s="5"/>
      <c r="W165" s="5"/>
      <c r="X165" s="5"/>
      <c r="Y165" s="5"/>
      <c r="Z165" s="5"/>
      <c r="AA165" s="5"/>
      <c r="AB165" s="5"/>
      <c r="AC165" s="5"/>
    </row>
    <row r="166" spans="8:29" x14ac:dyDescent="0.2">
      <c r="H166" s="5"/>
      <c r="I166" s="5"/>
      <c r="J166" s="5"/>
      <c r="K166" s="5"/>
      <c r="L166" s="5"/>
      <c r="M166" s="5"/>
      <c r="N166" s="5"/>
      <c r="O166" s="5"/>
      <c r="P166" s="5"/>
      <c r="Q166" s="5"/>
      <c r="R166" s="5"/>
      <c r="S166" s="5"/>
      <c r="T166" s="5"/>
      <c r="U166" s="5"/>
      <c r="V166" s="5"/>
      <c r="W166" s="5"/>
      <c r="X166" s="5"/>
      <c r="Y166" s="5"/>
      <c r="Z166" s="5"/>
      <c r="AA166" s="5"/>
      <c r="AB166" s="5"/>
      <c r="AC166" s="5"/>
    </row>
    <row r="167" spans="8:29" x14ac:dyDescent="0.2">
      <c r="H167" s="5"/>
      <c r="I167" s="5"/>
      <c r="J167" s="5"/>
      <c r="K167" s="5"/>
      <c r="L167" s="5"/>
      <c r="M167" s="5"/>
      <c r="N167" s="5"/>
      <c r="O167" s="5"/>
      <c r="P167" s="5"/>
      <c r="Q167" s="5"/>
      <c r="R167" s="5"/>
      <c r="S167" s="5"/>
      <c r="T167" s="5"/>
      <c r="U167" s="5"/>
      <c r="V167" s="5"/>
      <c r="W167" s="5"/>
      <c r="X167" s="5"/>
      <c r="Y167" s="5"/>
      <c r="Z167" s="5"/>
      <c r="AA167" s="5"/>
      <c r="AB167" s="5"/>
      <c r="AC167" s="5"/>
    </row>
    <row r="168" spans="8:29" x14ac:dyDescent="0.2">
      <c r="H168" s="5"/>
      <c r="I168" s="5"/>
      <c r="J168" s="5"/>
      <c r="K168" s="5"/>
      <c r="L168" s="5"/>
      <c r="M168" s="5"/>
      <c r="N168" s="5"/>
      <c r="O168" s="5"/>
      <c r="P168" s="5"/>
      <c r="Q168" s="5"/>
      <c r="R168" s="5"/>
      <c r="S168" s="5"/>
      <c r="T168" s="5"/>
      <c r="U168" s="5"/>
      <c r="V168" s="5"/>
      <c r="W168" s="5"/>
      <c r="X168" s="5"/>
      <c r="Y168" s="5"/>
      <c r="Z168" s="5"/>
      <c r="AA168" s="5"/>
      <c r="AB168" s="5"/>
      <c r="AC168" s="5"/>
    </row>
    <row r="169" spans="8:29" x14ac:dyDescent="0.2">
      <c r="H169" s="5"/>
      <c r="I169" s="5"/>
      <c r="J169" s="5"/>
      <c r="K169" s="5"/>
      <c r="L169" s="5"/>
      <c r="M169" s="5"/>
      <c r="N169" s="5"/>
      <c r="O169" s="5"/>
      <c r="P169" s="5"/>
      <c r="Q169" s="5"/>
      <c r="R169" s="5"/>
      <c r="S169" s="5"/>
      <c r="T169" s="5"/>
      <c r="U169" s="5"/>
      <c r="V169" s="5"/>
      <c r="W169" s="5"/>
      <c r="X169" s="5"/>
      <c r="Y169" s="5"/>
      <c r="Z169" s="5"/>
      <c r="AA169" s="5"/>
      <c r="AB169" s="5"/>
      <c r="AC169" s="5"/>
    </row>
    <row r="170" spans="8:29" x14ac:dyDescent="0.2">
      <c r="H170" s="5"/>
      <c r="I170" s="5"/>
      <c r="J170" s="5"/>
      <c r="K170" s="5"/>
      <c r="L170" s="5"/>
      <c r="M170" s="5"/>
      <c r="N170" s="5"/>
      <c r="O170" s="5"/>
      <c r="P170" s="5"/>
      <c r="Q170" s="5"/>
      <c r="R170" s="5"/>
      <c r="S170" s="5"/>
      <c r="T170" s="5"/>
      <c r="U170" s="5"/>
      <c r="V170" s="5"/>
      <c r="W170" s="5"/>
      <c r="X170" s="5"/>
      <c r="Y170" s="5"/>
      <c r="Z170" s="5"/>
      <c r="AA170" s="5"/>
      <c r="AB170" s="5"/>
      <c r="AC170" s="5"/>
    </row>
    <row r="171" spans="8:29" x14ac:dyDescent="0.2">
      <c r="H171" s="5"/>
      <c r="I171" s="5"/>
      <c r="J171" s="5"/>
      <c r="K171" s="5"/>
      <c r="L171" s="5"/>
      <c r="M171" s="5"/>
      <c r="N171" s="5"/>
      <c r="O171" s="5"/>
      <c r="P171" s="5"/>
      <c r="Q171" s="5"/>
      <c r="R171" s="5"/>
      <c r="S171" s="5"/>
      <c r="T171" s="5"/>
      <c r="U171" s="5"/>
      <c r="V171" s="5"/>
      <c r="W171" s="5"/>
      <c r="X171" s="5"/>
      <c r="Y171" s="5"/>
      <c r="Z171" s="5"/>
      <c r="AA171" s="5"/>
      <c r="AB171" s="5"/>
      <c r="AC171" s="5"/>
    </row>
    <row r="172" spans="8:29" x14ac:dyDescent="0.2">
      <c r="H172" s="5"/>
      <c r="I172" s="5"/>
      <c r="J172" s="5"/>
      <c r="K172" s="5"/>
      <c r="L172" s="5"/>
      <c r="M172" s="5"/>
      <c r="N172" s="5"/>
      <c r="O172" s="5"/>
      <c r="P172" s="5"/>
      <c r="Q172" s="5"/>
      <c r="R172" s="5"/>
      <c r="S172" s="5"/>
      <c r="T172" s="5"/>
      <c r="U172" s="5"/>
      <c r="V172" s="5"/>
      <c r="W172" s="5"/>
      <c r="X172" s="5"/>
      <c r="Y172" s="5"/>
      <c r="Z172" s="5"/>
      <c r="AA172" s="5"/>
      <c r="AB172" s="5"/>
      <c r="AC172" s="5"/>
    </row>
    <row r="173" spans="8:29" x14ac:dyDescent="0.2">
      <c r="H173" s="5"/>
      <c r="I173" s="5"/>
      <c r="J173" s="5"/>
      <c r="K173" s="5"/>
      <c r="L173" s="5"/>
      <c r="M173" s="5"/>
      <c r="N173" s="5"/>
      <c r="O173" s="5"/>
      <c r="P173" s="5"/>
      <c r="Q173" s="5"/>
      <c r="R173" s="5"/>
      <c r="S173" s="5"/>
      <c r="T173" s="5"/>
      <c r="U173" s="5"/>
      <c r="V173" s="5"/>
      <c r="W173" s="5"/>
      <c r="X173" s="5"/>
      <c r="Y173" s="5"/>
      <c r="Z173" s="5"/>
      <c r="AA173" s="5"/>
      <c r="AB173" s="5"/>
      <c r="AC173" s="5"/>
    </row>
    <row r="174" spans="8:29" x14ac:dyDescent="0.2">
      <c r="H174" s="5"/>
      <c r="I174" s="5"/>
      <c r="J174" s="5"/>
      <c r="K174" s="5"/>
      <c r="L174" s="5"/>
      <c r="M174" s="5"/>
      <c r="N174" s="5"/>
      <c r="O174" s="5"/>
      <c r="P174" s="5"/>
      <c r="Q174" s="5"/>
      <c r="R174" s="5"/>
      <c r="S174" s="5"/>
      <c r="T174" s="5"/>
      <c r="U174" s="5"/>
      <c r="V174" s="5"/>
      <c r="W174" s="5"/>
      <c r="X174" s="5"/>
      <c r="Y174" s="5"/>
      <c r="Z174" s="5"/>
      <c r="AA174" s="5"/>
      <c r="AB174" s="5"/>
      <c r="AC174" s="5"/>
    </row>
    <row r="175" spans="8:29" x14ac:dyDescent="0.2">
      <c r="H175" s="5"/>
      <c r="I175" s="5"/>
      <c r="J175" s="5"/>
      <c r="K175" s="5"/>
      <c r="L175" s="5"/>
      <c r="M175" s="5"/>
      <c r="N175" s="5"/>
      <c r="O175" s="5"/>
      <c r="P175" s="5"/>
      <c r="Q175" s="5"/>
      <c r="R175" s="5"/>
      <c r="S175" s="5"/>
      <c r="T175" s="5"/>
      <c r="U175" s="5"/>
      <c r="V175" s="5"/>
      <c r="W175" s="5"/>
      <c r="X175" s="5"/>
      <c r="Y175" s="5"/>
      <c r="Z175" s="5"/>
      <c r="AA175" s="5"/>
      <c r="AB175" s="5"/>
      <c r="AC175" s="5"/>
    </row>
    <row r="176" spans="8:29" x14ac:dyDescent="0.2">
      <c r="H176" s="5"/>
      <c r="I176" s="5"/>
      <c r="J176" s="5"/>
      <c r="K176" s="5"/>
      <c r="L176" s="5"/>
      <c r="M176" s="5"/>
      <c r="N176" s="5"/>
      <c r="O176" s="5"/>
      <c r="P176" s="5"/>
      <c r="Q176" s="5"/>
      <c r="R176" s="5"/>
      <c r="S176" s="5"/>
      <c r="T176" s="5"/>
      <c r="U176" s="5"/>
      <c r="V176" s="5"/>
      <c r="W176" s="5"/>
      <c r="X176" s="5"/>
      <c r="Y176" s="5"/>
      <c r="Z176" s="5"/>
      <c r="AA176" s="5"/>
      <c r="AB176" s="5"/>
      <c r="AC176" s="5"/>
    </row>
    <row r="177" spans="5:31" x14ac:dyDescent="0.2">
      <c r="H177" s="5"/>
      <c r="I177" s="5"/>
      <c r="J177" s="5"/>
      <c r="K177" s="5"/>
      <c r="L177" s="5"/>
      <c r="M177" s="5"/>
      <c r="N177" s="5"/>
      <c r="O177" s="5"/>
      <c r="P177" s="5"/>
      <c r="Q177" s="5"/>
      <c r="R177" s="5"/>
      <c r="S177" s="5"/>
      <c r="T177" s="5"/>
      <c r="U177" s="5"/>
      <c r="V177" s="5"/>
      <c r="W177" s="5"/>
      <c r="X177" s="5"/>
      <c r="Y177" s="5"/>
      <c r="Z177" s="5"/>
      <c r="AA177" s="5"/>
      <c r="AB177" s="5"/>
      <c r="AC177" s="5"/>
    </row>
    <row r="178" spans="5:31" x14ac:dyDescent="0.2">
      <c r="H178" s="5"/>
      <c r="I178" s="5"/>
      <c r="J178" s="5"/>
      <c r="K178" s="5"/>
      <c r="L178" s="5"/>
      <c r="M178" s="5"/>
      <c r="N178" s="5"/>
      <c r="O178" s="5"/>
      <c r="P178" s="5"/>
      <c r="Q178" s="5"/>
      <c r="R178" s="5"/>
      <c r="S178" s="5"/>
      <c r="T178" s="5"/>
      <c r="U178" s="5"/>
      <c r="V178" s="5"/>
      <c r="W178" s="5"/>
      <c r="X178" s="5"/>
      <c r="Y178" s="5"/>
      <c r="Z178" s="5"/>
      <c r="AA178" s="5"/>
      <c r="AB178" s="5"/>
      <c r="AC178" s="5"/>
    </row>
    <row r="179" spans="5:31" x14ac:dyDescent="0.2">
      <c r="H179" s="5"/>
      <c r="I179" s="5"/>
      <c r="J179" s="5"/>
      <c r="K179" s="5"/>
      <c r="L179" s="5"/>
      <c r="M179" s="5"/>
      <c r="N179" s="5"/>
      <c r="O179" s="5"/>
      <c r="P179" s="5"/>
      <c r="Q179" s="5"/>
      <c r="R179" s="5"/>
      <c r="S179" s="5"/>
      <c r="T179" s="5"/>
      <c r="U179" s="5"/>
      <c r="V179" s="5"/>
      <c r="W179" s="5"/>
      <c r="X179" s="5"/>
      <c r="Y179" s="5"/>
      <c r="Z179" s="5"/>
      <c r="AA179" s="5"/>
      <c r="AB179" s="5"/>
      <c r="AC179" s="5"/>
    </row>
    <row r="180" spans="5:31" x14ac:dyDescent="0.2">
      <c r="H180" s="5"/>
      <c r="I180" s="5"/>
      <c r="J180" s="5"/>
      <c r="K180" s="5"/>
      <c r="L180" s="5"/>
      <c r="M180" s="5"/>
      <c r="N180" s="5"/>
      <c r="O180" s="5"/>
      <c r="P180" s="5"/>
      <c r="Q180" s="5"/>
      <c r="R180" s="5"/>
      <c r="S180" s="5"/>
      <c r="T180" s="5"/>
      <c r="U180" s="5"/>
      <c r="V180" s="5"/>
      <c r="W180" s="5"/>
      <c r="X180" s="5"/>
      <c r="Y180" s="5"/>
      <c r="Z180" s="5"/>
      <c r="AA180" s="5"/>
      <c r="AB180" s="5"/>
      <c r="AC180" s="5"/>
    </row>
    <row r="181" spans="5:31" x14ac:dyDescent="0.2">
      <c r="H181" s="5"/>
      <c r="I181" s="5"/>
      <c r="J181" s="5"/>
      <c r="K181" s="5"/>
      <c r="L181" s="5"/>
      <c r="M181" s="5"/>
      <c r="N181" s="5"/>
      <c r="O181" s="5"/>
      <c r="P181" s="5"/>
      <c r="Q181" s="5"/>
      <c r="R181" s="5"/>
      <c r="S181" s="5"/>
      <c r="T181" s="5"/>
      <c r="U181" s="5"/>
      <c r="V181" s="5"/>
      <c r="W181" s="5"/>
      <c r="X181" s="5"/>
      <c r="Y181" s="5"/>
      <c r="Z181" s="5"/>
      <c r="AA181" s="5"/>
      <c r="AB181" s="5"/>
      <c r="AC181" s="5"/>
    </row>
    <row r="182" spans="5:31" x14ac:dyDescent="0.2">
      <c r="H182" s="5"/>
      <c r="I182" s="5"/>
      <c r="J182" s="5"/>
      <c r="K182" s="5"/>
      <c r="L182" s="5"/>
      <c r="M182" s="5"/>
      <c r="N182" s="5"/>
      <c r="O182" s="5"/>
      <c r="P182" s="5"/>
      <c r="Q182" s="5"/>
      <c r="R182" s="5"/>
      <c r="S182" s="5"/>
      <c r="T182" s="5"/>
      <c r="U182" s="5"/>
      <c r="V182" s="5"/>
      <c r="W182" s="5"/>
      <c r="X182" s="5"/>
      <c r="Y182" s="5"/>
      <c r="Z182" s="5"/>
      <c r="AA182" s="5"/>
      <c r="AB182" s="5"/>
      <c r="AC182" s="5"/>
    </row>
    <row r="183" spans="5:31" x14ac:dyDescent="0.2">
      <c r="H183" s="5"/>
      <c r="I183" s="5"/>
      <c r="J183" s="5"/>
      <c r="K183" s="5"/>
      <c r="L183" s="5"/>
      <c r="M183" s="5"/>
      <c r="N183" s="5"/>
      <c r="O183" s="5"/>
      <c r="P183" s="5"/>
      <c r="Q183" s="5"/>
      <c r="R183" s="5"/>
      <c r="S183" s="5"/>
      <c r="T183" s="5"/>
      <c r="U183" s="5"/>
      <c r="V183" s="5"/>
      <c r="W183" s="5"/>
      <c r="X183" s="5"/>
      <c r="Y183" s="5"/>
      <c r="Z183" s="5"/>
      <c r="AA183" s="5"/>
      <c r="AB183" s="5"/>
      <c r="AC183" s="5"/>
    </row>
    <row r="184" spans="5:31" x14ac:dyDescent="0.2">
      <c r="H184" s="5"/>
      <c r="I184" s="5"/>
      <c r="J184" s="5"/>
      <c r="K184" s="5"/>
      <c r="L184" s="5"/>
      <c r="M184" s="5"/>
      <c r="N184" s="5"/>
      <c r="O184" s="5"/>
      <c r="P184" s="5"/>
      <c r="Q184" s="5"/>
      <c r="R184" s="5"/>
      <c r="S184" s="5"/>
      <c r="T184" s="5"/>
      <c r="U184" s="5"/>
      <c r="V184" s="5"/>
      <c r="W184" s="5"/>
      <c r="X184" s="5"/>
      <c r="Y184" s="5"/>
      <c r="Z184" s="5"/>
      <c r="AA184" s="5"/>
      <c r="AB184" s="5"/>
      <c r="AC184" s="5"/>
    </row>
    <row r="185" spans="5:31" hidden="1" x14ac:dyDescent="0.2">
      <c r="E185" s="25" t="s">
        <v>111</v>
      </c>
      <c r="G185" s="23" t="s">
        <v>110</v>
      </c>
      <c r="J185" s="35" t="s">
        <v>159</v>
      </c>
      <c r="K185" s="5"/>
      <c r="L185" s="5"/>
      <c r="N185" s="40" t="s">
        <v>323</v>
      </c>
      <c r="O185" s="5"/>
      <c r="P185" s="5"/>
      <c r="Q185" s="5"/>
      <c r="R185" s="40" t="s">
        <v>324</v>
      </c>
      <c r="S185" s="5"/>
      <c r="T185" s="5"/>
      <c r="U185" s="5"/>
      <c r="V185" s="40" t="s">
        <v>325</v>
      </c>
      <c r="W185" s="5"/>
      <c r="X185" s="5"/>
      <c r="Y185" s="5"/>
      <c r="Z185" s="5"/>
      <c r="AA185" s="5"/>
      <c r="AB185" s="5"/>
      <c r="AC185" s="9"/>
      <c r="AD185" s="5"/>
      <c r="AE185" s="5"/>
    </row>
    <row r="186" spans="5:31" hidden="1" x14ac:dyDescent="0.2">
      <c r="E186" s="24" t="s">
        <v>1</v>
      </c>
      <c r="G186" s="24" t="str">
        <f>IF(General!B11="","",General!B11)</f>
        <v>HE240B</v>
      </c>
      <c r="J186" s="41" t="str">
        <f>IF(General!B42="","",General!B42)</f>
        <v>St37</v>
      </c>
      <c r="K186" s="5"/>
      <c r="L186" s="5"/>
      <c r="M186" s="9"/>
      <c r="N186" s="41" t="s">
        <v>322</v>
      </c>
      <c r="O186" s="5"/>
      <c r="P186" s="5"/>
      <c r="Q186" s="5"/>
      <c r="R186" s="41" t="s">
        <v>332</v>
      </c>
      <c r="S186" s="5"/>
      <c r="T186" s="5"/>
      <c r="U186" s="5"/>
      <c r="V186" s="41" t="s">
        <v>326</v>
      </c>
      <c r="W186" s="5"/>
      <c r="X186" s="5"/>
      <c r="Y186" s="5"/>
      <c r="Z186" s="5"/>
      <c r="AA186" s="5"/>
      <c r="AB186" s="5"/>
      <c r="AC186" s="9"/>
      <c r="AD186" s="5"/>
      <c r="AE186" s="5"/>
    </row>
    <row r="187" spans="5:31" hidden="1" x14ac:dyDescent="0.2">
      <c r="E187" s="10" t="s">
        <v>0</v>
      </c>
      <c r="G187" s="24" t="str">
        <f>IF(General!B12="","",General!B12)</f>
        <v>HE400B</v>
      </c>
      <c r="J187" s="41" t="str">
        <f>IF(General!B43="","",General!B43)</f>
        <v>St44</v>
      </c>
      <c r="K187" s="5"/>
      <c r="L187" s="5"/>
      <c r="M187" s="9"/>
      <c r="N187" s="41" t="s">
        <v>328</v>
      </c>
      <c r="O187" s="5"/>
      <c r="P187" s="5"/>
      <c r="Q187" s="5"/>
      <c r="R187" s="41" t="s">
        <v>333</v>
      </c>
      <c r="S187" s="5"/>
      <c r="T187" s="5"/>
      <c r="U187" s="5"/>
      <c r="V187" s="41" t="s">
        <v>336</v>
      </c>
      <c r="W187" s="5"/>
      <c r="X187" s="5"/>
      <c r="Y187" s="5"/>
      <c r="Z187" s="5"/>
      <c r="AA187" s="5"/>
      <c r="AB187" s="5"/>
      <c r="AC187" s="9"/>
      <c r="AD187" s="5"/>
      <c r="AE187" s="5"/>
    </row>
    <row r="188" spans="5:31" hidden="1" x14ac:dyDescent="0.2">
      <c r="E188" s="11" t="s">
        <v>2</v>
      </c>
      <c r="G188" s="24" t="str">
        <f>IF(General!B13="","",General!B13)</f>
        <v>HE600B</v>
      </c>
      <c r="J188" s="41" t="str">
        <f>IF(General!B44="","",General!B44)</f>
        <v>St52</v>
      </c>
      <c r="K188" s="5"/>
      <c r="L188" s="5"/>
      <c r="M188" s="9"/>
      <c r="N188" s="41" t="s">
        <v>329</v>
      </c>
      <c r="O188" s="5"/>
      <c r="P188" s="5"/>
      <c r="Q188" s="5"/>
      <c r="R188" s="41" t="s">
        <v>334</v>
      </c>
      <c r="S188" s="5"/>
      <c r="T188" s="5"/>
      <c r="U188" s="5"/>
      <c r="V188" s="5"/>
      <c r="W188" s="5"/>
      <c r="X188" s="5"/>
      <c r="Y188" s="5"/>
      <c r="Z188" s="5"/>
      <c r="AA188" s="5"/>
      <c r="AB188" s="5"/>
      <c r="AC188" s="9"/>
      <c r="AD188" s="5"/>
      <c r="AE188" s="5"/>
    </row>
    <row r="189" spans="5:31" hidden="1" x14ac:dyDescent="0.2">
      <c r="E189" s="12" t="s">
        <v>3</v>
      </c>
      <c r="G189" s="24" t="str">
        <f>IF(General!B14="","",General!B14)</f>
        <v>HE800B</v>
      </c>
      <c r="J189" s="41" t="str">
        <f>IF(General!B45="","",General!B45)</f>
        <v/>
      </c>
      <c r="K189" s="5"/>
      <c r="L189" s="5"/>
      <c r="M189" s="9"/>
      <c r="N189" s="41" t="s">
        <v>330</v>
      </c>
      <c r="O189" s="5"/>
      <c r="P189" s="5"/>
      <c r="Q189" s="5"/>
      <c r="R189" s="41" t="s">
        <v>335</v>
      </c>
      <c r="S189" s="5"/>
      <c r="T189" s="5"/>
      <c r="U189" s="5"/>
      <c r="V189" s="5"/>
      <c r="W189" s="5"/>
      <c r="X189" s="5"/>
      <c r="Y189" s="5"/>
      <c r="Z189" s="5"/>
      <c r="AA189" s="5"/>
      <c r="AB189" s="5"/>
      <c r="AC189" s="9"/>
      <c r="AD189" s="5"/>
      <c r="AE189" s="5"/>
    </row>
    <row r="190" spans="5:31" hidden="1" x14ac:dyDescent="0.2">
      <c r="G190" s="24" t="str">
        <f>IF(General!B15="","",General!B15)</f>
        <v>HE1000B</v>
      </c>
      <c r="J190" s="41" t="str">
        <f>IF(General!B46="","",General!B46)</f>
        <v/>
      </c>
      <c r="K190" s="5"/>
      <c r="L190" s="5"/>
      <c r="M190" s="9"/>
      <c r="N190" s="41" t="s">
        <v>331</v>
      </c>
      <c r="O190" s="5"/>
      <c r="P190" s="5"/>
      <c r="Q190" s="5"/>
      <c r="R190" s="5"/>
      <c r="S190" s="5"/>
      <c r="T190" s="5"/>
      <c r="U190" s="5"/>
      <c r="V190" s="5"/>
      <c r="W190" s="5"/>
      <c r="X190" s="5"/>
      <c r="Y190" s="5"/>
      <c r="Z190" s="5"/>
      <c r="AA190" s="5"/>
      <c r="AB190" s="5"/>
      <c r="AC190" s="9"/>
      <c r="AD190" s="5"/>
      <c r="AE190" s="5"/>
    </row>
    <row r="191" spans="5:31" hidden="1" x14ac:dyDescent="0.2">
      <c r="E191" s="5" t="s">
        <v>139</v>
      </c>
      <c r="G191" s="24" t="str">
        <f>IF(General!B16="","",General!B16)</f>
        <v>IPE300</v>
      </c>
      <c r="J191" s="41" t="str">
        <f>IF(General!B47="","",General!B47)</f>
        <v/>
      </c>
      <c r="K191" s="5"/>
      <c r="L191" s="5"/>
      <c r="M191" s="9"/>
      <c r="N191" s="9"/>
      <c r="O191" s="5"/>
      <c r="P191" s="5"/>
      <c r="Q191" s="5"/>
      <c r="R191" s="5"/>
      <c r="S191" s="5"/>
      <c r="T191" s="5"/>
      <c r="U191" s="5"/>
      <c r="V191" s="5"/>
      <c r="W191" s="5"/>
      <c r="X191" s="5"/>
      <c r="Y191" s="5"/>
      <c r="Z191" s="5"/>
      <c r="AA191" s="5"/>
      <c r="AB191" s="5"/>
      <c r="AC191" s="9"/>
      <c r="AD191" s="5"/>
      <c r="AE191" s="5"/>
    </row>
    <row r="192" spans="5:31" hidden="1" x14ac:dyDescent="0.2">
      <c r="E192" s="10" t="s">
        <v>93</v>
      </c>
      <c r="G192" s="24" t="str">
        <f>IF(General!B17="","",General!B17)</f>
        <v>IPE400</v>
      </c>
      <c r="J192" s="41" t="str">
        <f>IF(General!B48="","",General!B48)</f>
        <v/>
      </c>
      <c r="K192" s="5"/>
      <c r="L192" s="5"/>
      <c r="M192" s="9"/>
      <c r="N192" s="9"/>
      <c r="O192" s="5"/>
      <c r="P192" s="5"/>
      <c r="Q192" s="5"/>
      <c r="R192" s="5"/>
      <c r="S192" s="5"/>
      <c r="T192" s="5"/>
      <c r="U192" s="5"/>
      <c r="V192" s="5"/>
      <c r="W192" s="5"/>
      <c r="X192" s="5"/>
      <c r="Y192" s="5"/>
      <c r="Z192" s="5"/>
      <c r="AA192" s="5"/>
      <c r="AB192" s="5"/>
      <c r="AC192" s="9"/>
      <c r="AD192" s="5"/>
      <c r="AE192" s="5"/>
    </row>
    <row r="193" spans="5:31" hidden="1" x14ac:dyDescent="0.2">
      <c r="G193" s="24" t="str">
        <f>IF(General!B18="","",General!B18)</f>
        <v>IPE500</v>
      </c>
      <c r="J193" s="9"/>
      <c r="K193" s="5"/>
      <c r="L193" s="5"/>
      <c r="M193" s="9"/>
      <c r="N193" s="9"/>
      <c r="O193" s="5"/>
      <c r="P193" s="5"/>
      <c r="Q193" s="5"/>
      <c r="R193" s="5"/>
      <c r="S193" s="5"/>
      <c r="T193" s="5"/>
      <c r="U193" s="5"/>
      <c r="V193" s="5"/>
      <c r="W193" s="5"/>
      <c r="X193" s="5"/>
      <c r="Y193" s="5"/>
      <c r="Z193" s="5"/>
      <c r="AA193" s="5"/>
      <c r="AB193" s="5"/>
      <c r="AC193" s="9"/>
      <c r="AD193" s="5"/>
      <c r="AE193" s="5"/>
    </row>
    <row r="194" spans="5:31" hidden="1" x14ac:dyDescent="0.2">
      <c r="G194" s="24" t="str">
        <f>IF(General!B19="","",General!B19)</f>
        <v>IPE600</v>
      </c>
      <c r="J194" s="9"/>
      <c r="L194" s="5"/>
      <c r="M194" s="9"/>
      <c r="N194" s="9"/>
      <c r="O194" s="5"/>
      <c r="P194" s="5"/>
      <c r="R194" s="5"/>
      <c r="S194" s="5"/>
      <c r="T194" s="5"/>
      <c r="U194" s="5"/>
      <c r="V194" s="5"/>
      <c r="W194" s="5"/>
      <c r="X194" s="5"/>
      <c r="Y194" s="5"/>
      <c r="Z194" s="5"/>
      <c r="AA194" s="5"/>
      <c r="AB194" s="5"/>
      <c r="AC194" s="9"/>
    </row>
    <row r="195" spans="5:31" hidden="1" x14ac:dyDescent="0.2">
      <c r="E195" s="35" t="s">
        <v>153</v>
      </c>
      <c r="G195" s="24" t="str">
        <f>IF(General!B20="","",General!B20)</f>
        <v>//</v>
      </c>
      <c r="J195" s="9"/>
      <c r="L195" s="5"/>
      <c r="M195" s="9"/>
      <c r="N195" s="9"/>
      <c r="O195" s="5"/>
      <c r="P195" s="5"/>
      <c r="R195" s="5"/>
      <c r="S195" s="5"/>
      <c r="T195" s="5"/>
      <c r="U195" s="5"/>
      <c r="V195" s="5"/>
      <c r="W195" s="5"/>
      <c r="X195" s="5"/>
      <c r="Y195" s="5"/>
      <c r="Z195" s="5"/>
      <c r="AA195" s="5"/>
      <c r="AB195" s="5"/>
      <c r="AC195" s="9"/>
    </row>
    <row r="196" spans="5:31" hidden="1" x14ac:dyDescent="0.2">
      <c r="E196" s="5" t="s">
        <v>151</v>
      </c>
      <c r="G196" s="24" t="str">
        <f>IF(General!B21="","",General!B21)</f>
        <v>P508x19</v>
      </c>
      <c r="J196" s="9"/>
      <c r="L196" s="5"/>
      <c r="M196" s="9"/>
      <c r="N196" s="9"/>
      <c r="O196" s="5"/>
      <c r="P196" s="5"/>
      <c r="R196" s="5"/>
      <c r="S196" s="5"/>
      <c r="T196" s="5"/>
      <c r="U196" s="5"/>
      <c r="V196" s="5"/>
      <c r="W196" s="5"/>
      <c r="X196" s="5"/>
      <c r="Y196" s="5"/>
      <c r="Z196" s="5"/>
      <c r="AA196" s="5"/>
      <c r="AB196" s="5"/>
      <c r="AC196" s="9"/>
    </row>
    <row r="197" spans="5:31" hidden="1" x14ac:dyDescent="0.2">
      <c r="E197" s="5" t="s">
        <v>154</v>
      </c>
      <c r="G197" s="24" t="str">
        <f>IF(General!B22="","",General!B22)</f>
        <v>P600x20</v>
      </c>
      <c r="J197" s="9"/>
      <c r="L197" s="5"/>
      <c r="M197" s="9"/>
      <c r="N197" s="9"/>
      <c r="O197" s="5"/>
      <c r="P197" s="5"/>
      <c r="R197" s="5"/>
      <c r="S197" s="5"/>
      <c r="T197" s="5"/>
      <c r="U197" s="5"/>
      <c r="V197" s="5"/>
      <c r="W197" s="5"/>
      <c r="X197" s="5"/>
      <c r="Y197" s="5"/>
      <c r="Z197" s="5"/>
      <c r="AA197" s="5"/>
      <c r="AB197" s="5"/>
      <c r="AC197" s="9"/>
    </row>
    <row r="198" spans="5:31" hidden="1" x14ac:dyDescent="0.2">
      <c r="E198" s="5" t="s">
        <v>155</v>
      </c>
      <c r="G198" s="24" t="str">
        <f>IF(General!B23="","",General!B23)</f>
        <v>P700x30</v>
      </c>
      <c r="J198" s="9"/>
      <c r="L198" s="5"/>
      <c r="M198" s="9"/>
      <c r="N198" s="9"/>
      <c r="O198" s="5"/>
      <c r="P198" s="5"/>
      <c r="R198" s="5"/>
      <c r="S198" s="5"/>
      <c r="T198" s="5"/>
      <c r="U198" s="5"/>
      <c r="V198" s="5"/>
      <c r="W198" s="5"/>
      <c r="X198" s="5"/>
      <c r="Y198" s="5"/>
      <c r="Z198" s="5"/>
      <c r="AA198" s="5"/>
      <c r="AB198" s="5"/>
      <c r="AC198" s="9"/>
    </row>
    <row r="199" spans="5:31" hidden="1" x14ac:dyDescent="0.2">
      <c r="G199" s="24" t="str">
        <f>IF(General!B24="","",General!B24)</f>
        <v>P900x40</v>
      </c>
      <c r="L199" s="5"/>
      <c r="M199" s="9"/>
      <c r="N199" s="9"/>
      <c r="O199" s="5"/>
      <c r="P199" s="5"/>
      <c r="R199" s="5"/>
      <c r="S199" s="5"/>
      <c r="T199" s="5"/>
      <c r="U199" s="5"/>
      <c r="V199" s="5"/>
      <c r="W199" s="5"/>
      <c r="X199" s="5"/>
      <c r="Y199" s="5"/>
      <c r="Z199" s="5"/>
      <c r="AA199" s="5"/>
      <c r="AB199" s="5"/>
      <c r="AC199" s="9"/>
    </row>
    <row r="200" spans="5:31" hidden="1" x14ac:dyDescent="0.2">
      <c r="G200" s="24" t="str">
        <f>IF(General!B25="","",General!B25)</f>
        <v>P1400x40</v>
      </c>
    </row>
    <row r="201" spans="5:31" hidden="1" x14ac:dyDescent="0.2">
      <c r="G201" s="24" t="str">
        <f>IF(General!B26="","",General!B26)</f>
        <v>P1800x50</v>
      </c>
    </row>
    <row r="202" spans="5:31" hidden="1" x14ac:dyDescent="0.2">
      <c r="G202" s="24" t="str">
        <f>IF(General!B27="","",General!B27)</f>
        <v/>
      </c>
    </row>
    <row r="203" spans="5:31" hidden="1" x14ac:dyDescent="0.2">
      <c r="G203" s="24" t="str">
        <f>IF(General!B28="","",General!B28)</f>
        <v/>
      </c>
    </row>
    <row r="204" spans="5:31" hidden="1" x14ac:dyDescent="0.2">
      <c r="G204" s="24" t="str">
        <f>IF(General!B29="","",General!B29)</f>
        <v/>
      </c>
    </row>
    <row r="205" spans="5:31" hidden="1" x14ac:dyDescent="0.2">
      <c r="G205" s="24" t="str">
        <f>IF(General!B30="","",General!B30)</f>
        <v/>
      </c>
    </row>
    <row r="206" spans="5:31" hidden="1" x14ac:dyDescent="0.2">
      <c r="G206" s="24" t="str">
        <f>IF(General!B31="","",General!B31)</f>
        <v/>
      </c>
    </row>
    <row r="207" spans="5:31" hidden="1" x14ac:dyDescent="0.2">
      <c r="G207" s="24" t="str">
        <f>IF(General!B32="","",General!B32)</f>
        <v/>
      </c>
    </row>
    <row r="208" spans="5:31" hidden="1" x14ac:dyDescent="0.2">
      <c r="G208" s="24" t="str">
        <f>IF(General!B33="","",General!B33)</f>
        <v/>
      </c>
    </row>
    <row r="209" spans="7:7" hidden="1" x14ac:dyDescent="0.2">
      <c r="G209" s="24" t="str">
        <f>IF(General!B34="","",General!B34)</f>
        <v/>
      </c>
    </row>
    <row r="210" spans="7:7" hidden="1" x14ac:dyDescent="0.2">
      <c r="G210" s="24" t="str">
        <f>IF(General!B35="","",General!B35)</f>
        <v/>
      </c>
    </row>
    <row r="211" spans="7:7" hidden="1" x14ac:dyDescent="0.2">
      <c r="G211" s="24" t="str">
        <f>IF(General!B36="","",General!B36)</f>
        <v/>
      </c>
    </row>
    <row r="212" spans="7:7" hidden="1" x14ac:dyDescent="0.2">
      <c r="G212" s="24" t="str">
        <f>IF(General!B37="","",General!B37)</f>
        <v/>
      </c>
    </row>
    <row r="213" spans="7:7" x14ac:dyDescent="0.2">
      <c r="G213" s="4"/>
    </row>
  </sheetData>
  <sheetProtection password="F507" sheet="1" objects="1" scenarios="1"/>
  <protectedRanges>
    <protectedRange sqref="C3" name="Range3"/>
    <protectedRange sqref="G56:G57 F11:F53 F55:F61 G11:G54 G128:G173 G70 F128:F175 F118:F120" name="Range1"/>
    <protectedRange sqref="AE45:AE50 AL120:BD120 AK60 AK66 C15:D20 H60 AL66:BD67 AK119:BD119 I68:Z68 AK7:AL7 AL8 AM7:BD8 AE19:AE36 AE97:AE109 AB66:AC67 H119 AL60:BD61 I119:AA120 H66:K66 C13:D13 AB7:AB8 AE68:AE95 C11:D11 C7:D9 H7:Z7 I9:Z9 AA7:AA9 I60:AA61 AA66:AA68 N66:Z66" name="Range2"/>
  </protectedRanges>
  <mergeCells count="550">
    <mergeCell ref="C3:E3"/>
    <mergeCell ref="BA68:BB68"/>
    <mergeCell ref="BC68:BD68"/>
    <mergeCell ref="AS68:AT68"/>
    <mergeCell ref="AU68:AV68"/>
    <mergeCell ref="AW68:AX68"/>
    <mergeCell ref="AY68:AZ68"/>
    <mergeCell ref="AK68:AL68"/>
    <mergeCell ref="AM68:AN68"/>
    <mergeCell ref="AO68:AP68"/>
    <mergeCell ref="AQ68:AR68"/>
    <mergeCell ref="AW9:AX9"/>
    <mergeCell ref="AY9:AZ9"/>
    <mergeCell ref="BA9:BB9"/>
    <mergeCell ref="AQ59:AR59"/>
    <mergeCell ref="AS59:AT59"/>
    <mergeCell ref="AU59:AV59"/>
    <mergeCell ref="AQ9:AR9"/>
    <mergeCell ref="AS9:AT9"/>
    <mergeCell ref="AU9:AV9"/>
    <mergeCell ref="BC6:BD6"/>
    <mergeCell ref="AT61:AU61"/>
    <mergeCell ref="AV61:AW61"/>
    <mergeCell ref="AX61:AY61"/>
    <mergeCell ref="AZ61:BA61"/>
    <mergeCell ref="BB61:BC61"/>
    <mergeCell ref="AU6:AV6"/>
    <mergeCell ref="AW6:AX6"/>
    <mergeCell ref="AY6:AZ6"/>
    <mergeCell ref="BA6:BB6"/>
    <mergeCell ref="AL8:AM8"/>
    <mergeCell ref="AN8:AO8"/>
    <mergeCell ref="AK59:AL59"/>
    <mergeCell ref="AM59:AN59"/>
    <mergeCell ref="AO59:AP59"/>
    <mergeCell ref="AK9:AL9"/>
    <mergeCell ref="AM9:AN9"/>
    <mergeCell ref="AO9:AP9"/>
    <mergeCell ref="AZ8:BA8"/>
    <mergeCell ref="U61:V61"/>
    <mergeCell ref="AK60:AL60"/>
    <mergeCell ref="AM60:AN60"/>
    <mergeCell ref="W61:X61"/>
    <mergeCell ref="Y61:Z61"/>
    <mergeCell ref="V60:W60"/>
    <mergeCell ref="X60:Y60"/>
    <mergeCell ref="Z60:AA60"/>
    <mergeCell ref="AL61:AM61"/>
    <mergeCell ref="AN61:AO61"/>
    <mergeCell ref="J59:K59"/>
    <mergeCell ref="I61:J61"/>
    <mergeCell ref="K61:L61"/>
    <mergeCell ref="M61:N61"/>
    <mergeCell ref="O61:P61"/>
    <mergeCell ref="Q61:R61"/>
    <mergeCell ref="Z59:AA59"/>
    <mergeCell ref="V59:W59"/>
    <mergeCell ref="P60:Q60"/>
    <mergeCell ref="R60:S60"/>
    <mergeCell ref="T60:U60"/>
    <mergeCell ref="H59:I59"/>
    <mergeCell ref="H60:I60"/>
    <mergeCell ref="J60:K60"/>
    <mergeCell ref="L60:M60"/>
    <mergeCell ref="L59:M59"/>
    <mergeCell ref="AU7:AV7"/>
    <mergeCell ref="N60:O60"/>
    <mergeCell ref="AT8:AU8"/>
    <mergeCell ref="AV8:AW8"/>
    <mergeCell ref="AX8:AY8"/>
    <mergeCell ref="N59:O59"/>
    <mergeCell ref="P59:Q59"/>
    <mergeCell ref="R59:S59"/>
    <mergeCell ref="T59:U59"/>
    <mergeCell ref="X59:Y59"/>
    <mergeCell ref="AP8:AQ8"/>
    <mergeCell ref="AR8:AS8"/>
    <mergeCell ref="J7:K7"/>
    <mergeCell ref="AK7:AL7"/>
    <mergeCell ref="AM7:AN7"/>
    <mergeCell ref="AO7:AP7"/>
    <mergeCell ref="AQ7:AR7"/>
    <mergeCell ref="AS7:AT7"/>
    <mergeCell ref="I8:J8"/>
    <mergeCell ref="I9:J9"/>
    <mergeCell ref="Y8:Z8"/>
    <mergeCell ref="Y9:Z9"/>
    <mergeCell ref="U8:V8"/>
    <mergeCell ref="U9:V9"/>
    <mergeCell ref="W8:X8"/>
    <mergeCell ref="W9:X9"/>
    <mergeCell ref="K8:L8"/>
    <mergeCell ref="AW7:AX7"/>
    <mergeCell ref="AY7:AZ7"/>
    <mergeCell ref="BA7:BB7"/>
    <mergeCell ref="BC7:BD7"/>
    <mergeCell ref="AY59:AZ59"/>
    <mergeCell ref="BA59:BB59"/>
    <mergeCell ref="AW59:AX59"/>
    <mergeCell ref="BB8:BC8"/>
    <mergeCell ref="BC9:BD9"/>
    <mergeCell ref="Z7:AA7"/>
    <mergeCell ref="BC59:BD59"/>
    <mergeCell ref="AI21:AI22"/>
    <mergeCell ref="AI23:AI24"/>
    <mergeCell ref="AJ54:AJ55"/>
    <mergeCell ref="AJ52:AJ53"/>
    <mergeCell ref="AJ50:AJ51"/>
    <mergeCell ref="AJ48:AJ49"/>
    <mergeCell ref="AJ34:AJ35"/>
    <mergeCell ref="AJ46:AJ47"/>
    <mergeCell ref="AO60:AP60"/>
    <mergeCell ref="AQ60:AR60"/>
    <mergeCell ref="AS60:AT60"/>
    <mergeCell ref="AU60:AV60"/>
    <mergeCell ref="AW60:AX60"/>
    <mergeCell ref="AY60:AZ60"/>
    <mergeCell ref="BA60:BB60"/>
    <mergeCell ref="BC60:BD60"/>
    <mergeCell ref="V6:W6"/>
    <mergeCell ref="X6:Y6"/>
    <mergeCell ref="T7:U7"/>
    <mergeCell ref="V7:W7"/>
    <mergeCell ref="X7:Y7"/>
    <mergeCell ref="Z6:AA6"/>
    <mergeCell ref="AI19:AI20"/>
    <mergeCell ref="AJ36:AJ37"/>
    <mergeCell ref="M8:N8"/>
    <mergeCell ref="O8:P8"/>
    <mergeCell ref="Q8:R8"/>
    <mergeCell ref="T6:U6"/>
    <mergeCell ref="L6:M6"/>
    <mergeCell ref="N6:O6"/>
    <mergeCell ref="P6:Q6"/>
    <mergeCell ref="R6:S6"/>
    <mergeCell ref="AP61:AQ61"/>
    <mergeCell ref="AK6:AL6"/>
    <mergeCell ref="AM6:AN6"/>
    <mergeCell ref="AO6:AP6"/>
    <mergeCell ref="AQ6:AR6"/>
    <mergeCell ref="AJ12:AJ13"/>
    <mergeCell ref="AJ30:AJ31"/>
    <mergeCell ref="AJ32:AJ33"/>
    <mergeCell ref="AJ56:AJ57"/>
    <mergeCell ref="AJ38:AJ39"/>
    <mergeCell ref="H6:I6"/>
    <mergeCell ref="R7:S7"/>
    <mergeCell ref="J6:K6"/>
    <mergeCell ref="AR61:AS61"/>
    <mergeCell ref="AS6:AT6"/>
    <mergeCell ref="H7:I7"/>
    <mergeCell ref="L7:M7"/>
    <mergeCell ref="N7:O7"/>
    <mergeCell ref="P7:Q7"/>
    <mergeCell ref="K9:L9"/>
    <mergeCell ref="M9:N9"/>
    <mergeCell ref="O9:P9"/>
    <mergeCell ref="Q9:R9"/>
    <mergeCell ref="AI33:AI34"/>
    <mergeCell ref="AI11:AI12"/>
    <mergeCell ref="AI25:AI26"/>
    <mergeCell ref="AI27:AI28"/>
    <mergeCell ref="AI29:AI30"/>
    <mergeCell ref="AI31:AI32"/>
    <mergeCell ref="AI17:AI18"/>
    <mergeCell ref="AI51:AI52"/>
    <mergeCell ref="AJ14:AJ15"/>
    <mergeCell ref="AJ16:AJ17"/>
    <mergeCell ref="AJ18:AJ19"/>
    <mergeCell ref="AJ20:AJ21"/>
    <mergeCell ref="AJ22:AJ23"/>
    <mergeCell ref="AJ24:AJ25"/>
    <mergeCell ref="AJ26:AJ27"/>
    <mergeCell ref="AI13:AI14"/>
    <mergeCell ref="AI15:AI16"/>
    <mergeCell ref="AI43:AI44"/>
    <mergeCell ref="AI45:AI46"/>
    <mergeCell ref="AJ44:AJ45"/>
    <mergeCell ref="AJ42:AJ43"/>
    <mergeCell ref="AJ40:AJ41"/>
    <mergeCell ref="AJ28:AJ29"/>
    <mergeCell ref="AH19:AH20"/>
    <mergeCell ref="AH21:AH22"/>
    <mergeCell ref="AH17:AH18"/>
    <mergeCell ref="AH23:AH24"/>
    <mergeCell ref="AH25:AH26"/>
    <mergeCell ref="AH27:AH28"/>
    <mergeCell ref="G38:G39"/>
    <mergeCell ref="G36:G37"/>
    <mergeCell ref="G16:G17"/>
    <mergeCell ref="G14:G15"/>
    <mergeCell ref="G34:G35"/>
    <mergeCell ref="G32:G33"/>
    <mergeCell ref="G12:G13"/>
    <mergeCell ref="G26:G27"/>
    <mergeCell ref="G24:G25"/>
    <mergeCell ref="G22:G23"/>
    <mergeCell ref="G20:G21"/>
    <mergeCell ref="G18:G19"/>
    <mergeCell ref="E29:E30"/>
    <mergeCell ref="AI55:AI56"/>
    <mergeCell ref="AI53:AI54"/>
    <mergeCell ref="AI35:AI36"/>
    <mergeCell ref="AI37:AI38"/>
    <mergeCell ref="AI39:AI40"/>
    <mergeCell ref="AI41:AI42"/>
    <mergeCell ref="AI49:AI50"/>
    <mergeCell ref="AI47:AI48"/>
    <mergeCell ref="G40:G41"/>
    <mergeCell ref="E19:E20"/>
    <mergeCell ref="E13:E14"/>
    <mergeCell ref="E11:E12"/>
    <mergeCell ref="F27:F28"/>
    <mergeCell ref="G30:G31"/>
    <mergeCell ref="G28:G29"/>
    <mergeCell ref="E27:E28"/>
    <mergeCell ref="F31:F32"/>
    <mergeCell ref="F29:F30"/>
    <mergeCell ref="E31:E32"/>
    <mergeCell ref="F33:F34"/>
    <mergeCell ref="F21:F22"/>
    <mergeCell ref="F23:F24"/>
    <mergeCell ref="E25:E26"/>
    <mergeCell ref="E23:E24"/>
    <mergeCell ref="E15:E16"/>
    <mergeCell ref="F25:F26"/>
    <mergeCell ref="F19:F20"/>
    <mergeCell ref="E17:E18"/>
    <mergeCell ref="E21:E22"/>
    <mergeCell ref="E45:E46"/>
    <mergeCell ref="E43:E44"/>
    <mergeCell ref="E41:E42"/>
    <mergeCell ref="E35:E36"/>
    <mergeCell ref="E33:E34"/>
    <mergeCell ref="F11:F12"/>
    <mergeCell ref="F13:F14"/>
    <mergeCell ref="F15:F16"/>
    <mergeCell ref="F17:F18"/>
    <mergeCell ref="F35:F36"/>
    <mergeCell ref="F41:F42"/>
    <mergeCell ref="F39:F40"/>
    <mergeCell ref="F37:F38"/>
    <mergeCell ref="E47:E48"/>
    <mergeCell ref="G50:G51"/>
    <mergeCell ref="G48:G49"/>
    <mergeCell ref="G46:G47"/>
    <mergeCell ref="G44:G45"/>
    <mergeCell ref="G42:G43"/>
    <mergeCell ref="E39:E40"/>
    <mergeCell ref="E51:E52"/>
    <mergeCell ref="E49:E50"/>
    <mergeCell ref="J65:K65"/>
    <mergeCell ref="L65:M65"/>
    <mergeCell ref="E37:E38"/>
    <mergeCell ref="F51:F52"/>
    <mergeCell ref="F49:F50"/>
    <mergeCell ref="F47:F48"/>
    <mergeCell ref="F45:F46"/>
    <mergeCell ref="F43:F44"/>
    <mergeCell ref="N65:O65"/>
    <mergeCell ref="E57:E58"/>
    <mergeCell ref="F57:F58"/>
    <mergeCell ref="G56:G57"/>
    <mergeCell ref="F55:F56"/>
    <mergeCell ref="G54:G55"/>
    <mergeCell ref="E55:E56"/>
    <mergeCell ref="E53:E54"/>
    <mergeCell ref="F53:F54"/>
    <mergeCell ref="G52:G53"/>
    <mergeCell ref="AW65:AX65"/>
    <mergeCell ref="AY65:AZ65"/>
    <mergeCell ref="AK65:AL65"/>
    <mergeCell ref="AM65:AN65"/>
    <mergeCell ref="P65:Q65"/>
    <mergeCell ref="R65:S65"/>
    <mergeCell ref="T65:U65"/>
    <mergeCell ref="V65:W65"/>
    <mergeCell ref="BA65:BB65"/>
    <mergeCell ref="BC65:BD65"/>
    <mergeCell ref="AS66:AT66"/>
    <mergeCell ref="AU66:AV66"/>
    <mergeCell ref="AW66:AX66"/>
    <mergeCell ref="AY66:AZ66"/>
    <mergeCell ref="BA66:BB66"/>
    <mergeCell ref="BC66:BD66"/>
    <mergeCell ref="AS65:AT65"/>
    <mergeCell ref="AU65:AV65"/>
    <mergeCell ref="Z65:AA65"/>
    <mergeCell ref="H65:I65"/>
    <mergeCell ref="AQ66:AR66"/>
    <mergeCell ref="X66:Y66"/>
    <mergeCell ref="Z66:AA66"/>
    <mergeCell ref="AK66:AL66"/>
    <mergeCell ref="AM66:AN66"/>
    <mergeCell ref="AO66:AP66"/>
    <mergeCell ref="AO65:AP65"/>
    <mergeCell ref="AQ65:AR65"/>
    <mergeCell ref="T69:U69"/>
    <mergeCell ref="V69:W69"/>
    <mergeCell ref="X69:Y69"/>
    <mergeCell ref="Z69:AA69"/>
    <mergeCell ref="AI57:AI58"/>
    <mergeCell ref="E116:E117"/>
    <mergeCell ref="Y67:Z67"/>
    <mergeCell ref="E70:E71"/>
    <mergeCell ref="I67:J67"/>
    <mergeCell ref="X65:Y65"/>
    <mergeCell ref="H69:I69"/>
    <mergeCell ref="J69:K69"/>
    <mergeCell ref="L69:M69"/>
    <mergeCell ref="N69:O69"/>
    <mergeCell ref="P69:Q69"/>
    <mergeCell ref="R69:S69"/>
    <mergeCell ref="H118:I118"/>
    <mergeCell ref="J118:K118"/>
    <mergeCell ref="L118:M118"/>
    <mergeCell ref="N118:O118"/>
    <mergeCell ref="P118:Q118"/>
    <mergeCell ref="R118:S118"/>
    <mergeCell ref="AS118:AT118"/>
    <mergeCell ref="AU118:AV118"/>
    <mergeCell ref="AW118:AX118"/>
    <mergeCell ref="AY118:AZ118"/>
    <mergeCell ref="T118:U118"/>
    <mergeCell ref="V118:W118"/>
    <mergeCell ref="X118:Y118"/>
    <mergeCell ref="Z118:AA118"/>
    <mergeCell ref="AK118:AL118"/>
    <mergeCell ref="AM118:AN118"/>
    <mergeCell ref="BA118:BB118"/>
    <mergeCell ref="BC118:BD118"/>
    <mergeCell ref="T119:U119"/>
    <mergeCell ref="V119:W119"/>
    <mergeCell ref="H119:I119"/>
    <mergeCell ref="J119:K119"/>
    <mergeCell ref="L119:M119"/>
    <mergeCell ref="N119:O119"/>
    <mergeCell ref="AO118:AP118"/>
    <mergeCell ref="AQ118:AR118"/>
    <mergeCell ref="R66:S66"/>
    <mergeCell ref="T66:U66"/>
    <mergeCell ref="V66:W66"/>
    <mergeCell ref="AY119:AZ119"/>
    <mergeCell ref="X119:Y119"/>
    <mergeCell ref="Z119:AA119"/>
    <mergeCell ref="AK119:AL119"/>
    <mergeCell ref="AM119:AN119"/>
    <mergeCell ref="AO119:AP119"/>
    <mergeCell ref="AQ119:AR119"/>
    <mergeCell ref="H66:I66"/>
    <mergeCell ref="J66:K66"/>
    <mergeCell ref="O68:P68"/>
    <mergeCell ref="N66:O66"/>
    <mergeCell ref="L66:M66"/>
    <mergeCell ref="P66:Q66"/>
    <mergeCell ref="K67:L67"/>
    <mergeCell ref="M67:N67"/>
    <mergeCell ref="O67:P67"/>
    <mergeCell ref="Q67:R67"/>
    <mergeCell ref="AL67:AM67"/>
    <mergeCell ref="AN67:AO67"/>
    <mergeCell ref="AP67:AQ67"/>
    <mergeCell ref="AR67:AS67"/>
    <mergeCell ref="AT67:AU67"/>
    <mergeCell ref="AV67:AW67"/>
    <mergeCell ref="AX67:AY67"/>
    <mergeCell ref="AZ67:BA67"/>
    <mergeCell ref="BB67:BC67"/>
    <mergeCell ref="I68:J68"/>
    <mergeCell ref="K68:L68"/>
    <mergeCell ref="M68:N68"/>
    <mergeCell ref="Q68:R68"/>
    <mergeCell ref="U68:V68"/>
    <mergeCell ref="W68:X68"/>
    <mergeCell ref="Y68:Z68"/>
    <mergeCell ref="U67:V67"/>
    <mergeCell ref="W67:X67"/>
    <mergeCell ref="E72:E73"/>
    <mergeCell ref="E74:E75"/>
    <mergeCell ref="E76:E77"/>
    <mergeCell ref="E78:E79"/>
    <mergeCell ref="G71:G72"/>
    <mergeCell ref="G73:G74"/>
    <mergeCell ref="G75:G76"/>
    <mergeCell ref="G77:G78"/>
    <mergeCell ref="E86:E87"/>
    <mergeCell ref="E88:E89"/>
    <mergeCell ref="E90:E91"/>
    <mergeCell ref="E80:E81"/>
    <mergeCell ref="E82:E83"/>
    <mergeCell ref="E84:E85"/>
    <mergeCell ref="E100:E101"/>
    <mergeCell ref="E102:E103"/>
    <mergeCell ref="E104:E105"/>
    <mergeCell ref="E92:E93"/>
    <mergeCell ref="E94:E95"/>
    <mergeCell ref="E96:E97"/>
    <mergeCell ref="E98:E99"/>
    <mergeCell ref="F116:F117"/>
    <mergeCell ref="F110:F111"/>
    <mergeCell ref="E106:E107"/>
    <mergeCell ref="E108:E109"/>
    <mergeCell ref="E110:E111"/>
    <mergeCell ref="E112:E113"/>
    <mergeCell ref="E114:E115"/>
    <mergeCell ref="F112:F113"/>
    <mergeCell ref="F114:F115"/>
    <mergeCell ref="F106:F107"/>
    <mergeCell ref="G111:G112"/>
    <mergeCell ref="G113:G114"/>
    <mergeCell ref="BA119:BB119"/>
    <mergeCell ref="BC119:BD119"/>
    <mergeCell ref="G115:G116"/>
    <mergeCell ref="AS119:AT119"/>
    <mergeCell ref="AU119:AV119"/>
    <mergeCell ref="AW119:AX119"/>
    <mergeCell ref="P119:Q119"/>
    <mergeCell ref="R119:S119"/>
    <mergeCell ref="I120:J120"/>
    <mergeCell ref="K120:L120"/>
    <mergeCell ref="M120:N120"/>
    <mergeCell ref="O120:P120"/>
    <mergeCell ref="Q120:R120"/>
    <mergeCell ref="U120:V120"/>
    <mergeCell ref="W120:X120"/>
    <mergeCell ref="Y120:Z120"/>
    <mergeCell ref="AL120:AM120"/>
    <mergeCell ref="AN120:AO120"/>
    <mergeCell ref="AP120:AQ120"/>
    <mergeCell ref="AR120:AS120"/>
    <mergeCell ref="AT120:AU120"/>
    <mergeCell ref="AV120:AW120"/>
    <mergeCell ref="AX120:AY120"/>
    <mergeCell ref="AZ120:BA120"/>
    <mergeCell ref="BB120:BC120"/>
    <mergeCell ref="H11:I11"/>
    <mergeCell ref="J11:K11"/>
    <mergeCell ref="L11:M11"/>
    <mergeCell ref="N11:O11"/>
    <mergeCell ref="P11:Q11"/>
    <mergeCell ref="R11:S11"/>
    <mergeCell ref="T11:U11"/>
    <mergeCell ref="V11:W11"/>
    <mergeCell ref="AH11:AH12"/>
    <mergeCell ref="AH13:AH14"/>
    <mergeCell ref="AH15:AH16"/>
    <mergeCell ref="X11:Y11"/>
    <mergeCell ref="Z11:AA11"/>
    <mergeCell ref="AH29:AH30"/>
    <mergeCell ref="AH31:AH32"/>
    <mergeCell ref="AH33:AH34"/>
    <mergeCell ref="AH35:AH36"/>
    <mergeCell ref="AH37:AH38"/>
    <mergeCell ref="AH39:AH40"/>
    <mergeCell ref="AH41:AH42"/>
    <mergeCell ref="AH43:AH44"/>
    <mergeCell ref="AH45:AH46"/>
    <mergeCell ref="AH55:AH56"/>
    <mergeCell ref="AH57:AH58"/>
    <mergeCell ref="AH47:AH48"/>
    <mergeCell ref="AH49:AH50"/>
    <mergeCell ref="AH51:AH52"/>
    <mergeCell ref="AH53:AH54"/>
    <mergeCell ref="B11:B12"/>
    <mergeCell ref="C11:C12"/>
    <mergeCell ref="B13:B14"/>
    <mergeCell ref="C13:C14"/>
    <mergeCell ref="B15:B16"/>
    <mergeCell ref="C15:C16"/>
    <mergeCell ref="B17:B18"/>
    <mergeCell ref="B19:B20"/>
    <mergeCell ref="C17:C18"/>
    <mergeCell ref="C19:C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C21:C22"/>
    <mergeCell ref="C23:C24"/>
    <mergeCell ref="C25:C26"/>
    <mergeCell ref="C27:C28"/>
    <mergeCell ref="C29:C30"/>
    <mergeCell ref="C31:C32"/>
    <mergeCell ref="C33:C34"/>
    <mergeCell ref="C49:C50"/>
    <mergeCell ref="C35:C36"/>
    <mergeCell ref="C41:C42"/>
    <mergeCell ref="C39:C40"/>
    <mergeCell ref="C37:C38"/>
    <mergeCell ref="C45:C46"/>
    <mergeCell ref="D11:D12"/>
    <mergeCell ref="B65:B66"/>
    <mergeCell ref="E6:F7"/>
    <mergeCell ref="E65:F66"/>
    <mergeCell ref="C51:C52"/>
    <mergeCell ref="C53:C54"/>
    <mergeCell ref="C55:C56"/>
    <mergeCell ref="C57:C58"/>
    <mergeCell ref="C43:C44"/>
    <mergeCell ref="C47:C4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G107:G108"/>
    <mergeCell ref="G109:G110"/>
    <mergeCell ref="F70:F71"/>
    <mergeCell ref="F72:F73"/>
    <mergeCell ref="F74:F75"/>
    <mergeCell ref="F76:F77"/>
    <mergeCell ref="F78:F79"/>
    <mergeCell ref="F80:F81"/>
    <mergeCell ref="F82:F83"/>
    <mergeCell ref="F84:F85"/>
    <mergeCell ref="F86:F87"/>
    <mergeCell ref="F88:F89"/>
    <mergeCell ref="F90:F91"/>
    <mergeCell ref="F92:F93"/>
    <mergeCell ref="F108:F109"/>
    <mergeCell ref="F94:F95"/>
    <mergeCell ref="F96:F97"/>
    <mergeCell ref="F98:F99"/>
    <mergeCell ref="F100:F101"/>
    <mergeCell ref="F102:F103"/>
    <mergeCell ref="F104:F105"/>
  </mergeCells>
  <phoneticPr fontId="2" type="noConversion"/>
  <conditionalFormatting sqref="F45">
    <cfRule type="expression" dxfId="1" priority="1" stopIfTrue="1">
      <formula>"$D$44="""""</formula>
    </cfRule>
  </conditionalFormatting>
  <dataValidations xWindow="371" yWindow="206" count="33">
    <dataValidation allowBlank="1" showInputMessage="1" showErrorMessage="1" promptTitle="X-coordinate at top of leg" prompt="Distance in X direction from datum point to top of leg. Give either the X-coordinate or the spacings between the legs, not both." sqref="AB65:AC65 Z69 T11:V11 X11:Z11 AB6 AK6:AM6 AO6:AQ6 AS6:AU6 AW6:AY6 BA6:BC6 AW59:AY59 V69 BA59:BC59 AK59:AM59 AO59:AQ59 AS59:AU59"/>
    <dataValidation allowBlank="1" showInputMessage="1" showErrorMessage="1" promptTitle="Z-elevation of horizontal frame" prompt="Give either the Z-elevation or the spacings between the horizontal frames, not both." sqref="F69"/>
    <dataValidation allowBlank="1" showInputMessage="1" showErrorMessage="1" promptTitle="Spacing between elevations" prompt="Spacing between this elevation and the one below. Give either the Z-elevation or the spacings between the horizontal frames, not both." sqref="G69"/>
    <dataValidation allowBlank="1" showInputMessage="1" showErrorMessage="1" promptTitle="Braces" prompt="Braces between the legs:_x000a_No for no brace_x000a_X for X-brace_x000a_/  for diagonal up_x000a_\  for diagonal down" sqref="G9"/>
    <dataValidation type="decimal" allowBlank="1" showInputMessage="1" showErrorMessage="1" sqref="P1">
      <formula1>-1000</formula1>
      <formula2>10000</formula2>
    </dataValidation>
    <dataValidation type="whole" allowBlank="1" showInputMessage="1" showErrorMessage="1" sqref="Q1">
      <formula1>5</formula1>
      <formula2>10</formula2>
    </dataValidation>
    <dataValidation allowBlank="1" showInputMessage="1" showErrorMessage="1" promptTitle="X-coordinate at top of leg" prompt="Distance in X direction from datum point to top of leg. Give either the X-coordinate or the spacings between the legs, not both._x000a_Number shown in ( ) is resulting X-coordinate._x000a_Alternatively Leg batter may be given as X/Z." sqref="H6:AA6 T65:AA65"/>
    <dataValidation allowBlank="1" showInputMessage="1" showErrorMessage="1" promptTitle="Y-coordinate at top of leg" prompt="Distance in Y direction from datum point to top of leg. Give either the Y-coordinate or the spacings between the legs, not both._x000a_Number shown in ( ) is resulting Y-coordinate._x000a_Alternatively Leg batter may be given as Y/Z." sqref="AK65:BD65 H65:S65"/>
    <dataValidation allowBlank="1" showInputMessage="1" showErrorMessage="1" promptTitle="Y-coordinate at bottom of leg" prompt="Distance in Y direction from datum point to bottom of leg. Give either the Y-coordinate or the spacings between the legs, not both._x000a_Number shown in ( ) is resulting Y-coordinate._x000a_" sqref="AK118:BD118 H118:AA118"/>
    <dataValidation allowBlank="1" showInputMessage="1" showErrorMessage="1" promptTitle="X-coordinate at bottom of leg" prompt="Distance in X direction from datum point to bottom of leg. Give either the X-coordinate or the spacings between the legs, not both._x000a_Number shown in ( ) is resulting X-coordinate." sqref="H59:AA59"/>
    <dataValidation type="list" allowBlank="1" showInputMessage="1" showErrorMessage="1" sqref="I9:AA9 I68:AA68">
      <formula1>$E$186:$E$190</formula1>
    </dataValidation>
    <dataValidation type="list" allowBlank="1" showInputMessage="1" showErrorMessage="1" sqref="C13 C15:C16 AE97:AE100 C11">
      <formula1>$G$186:$G$213</formula1>
    </dataValidation>
    <dataValidation type="list" allowBlank="1" showInputMessage="1" showErrorMessage="1" sqref="C7">
      <formula1>$J$186:$J$198</formula1>
    </dataValidation>
    <dataValidation type="list" allowBlank="1" showInputMessage="1" showErrorMessage="1" promptTitle="Leg batter / coordinates" prompt="Use the pushbutton above to toggle between leg batter and leg coordinates" sqref="G7 G66">
      <formula1>$E$196:$E$197</formula1>
    </dataValidation>
    <dataValidation allowBlank="1" showInputMessage="1" showErrorMessage="1" promptTitle="Z-elevation of horizontal frame" prompt="Give either the Z-elevation or the spacing between the horizontal frames, not both." sqref="F10"/>
    <dataValidation allowBlank="1" showInputMessage="1" showErrorMessage="1" promptTitle="Spacing between elevations" prompt="Give either the Z-elevation or the spacing between the horizontal frames, not both." sqref="G10"/>
    <dataValidation type="list" allowBlank="1" showInputMessage="1" showErrorMessage="1" sqref="C25:C26">
      <formula1>$N$186:$N$190</formula1>
    </dataValidation>
    <dataValidation type="list" allowBlank="1" showInputMessage="1" showErrorMessage="1" sqref="C27:C28">
      <formula1>$R$186:$R$189</formula1>
    </dataValidation>
    <dataValidation type="list" allowBlank="1" showInputMessage="1" showErrorMessage="1" sqref="C29:C30">
      <formula1>$V$186:$V$187</formula1>
    </dataValidation>
    <dataValidation allowBlank="1" showInputMessage="1" showErrorMessage="1" promptTitle="Section for diagonal braces" prompt="The pulldown list of sections is taken from the table on the General sheet. Add relevant sections to this table" sqref="B15:B16"/>
    <dataValidation allowBlank="1" showInputMessage="1" showErrorMessage="1" promptTitle="Section for horizontal braces" prompt="The pulldown list of sections is taken from the table on the General sheet. Add relevant sections to this table" sqref="B13:B14"/>
    <dataValidation allowBlank="1" showInputMessage="1" showErrorMessage="1" promptTitle="Cross section for legs" prompt="The pulldown list of sections is taken from the table on the General sheet. Add relevant sections to this table" sqref="B11:B12"/>
    <dataValidation allowBlank="1" showInputMessage="1" showErrorMessage="1" promptTitle="Material properties" prompt="The pulldown list of materials is taken from the table on the General sheet. Add relevant materials to this table" sqref="B7:B8"/>
    <dataValidation type="custom" allowBlank="1" showInputMessage="1" showErrorMessage="1" errorTitle="Elevation_spacing" error="Enter the elevation or the spacing between elevations and leave the other cell blank._x000a_" sqref="F11:F41 F43 F45 F47 F49:F58">
      <formula1>(G12="")</formula1>
    </dataValidation>
    <dataValidation type="custom" allowBlank="1" showInputMessage="1" showErrorMessage="1" errorTitle="Elevation_spacing" error="Enter the elevation or the spacing between elevations and leave the other cell blank._x000a_" sqref="G42 G12:G38 G40 G44:G55">
      <formula1>(F11="")</formula1>
    </dataValidation>
    <dataValidation type="custom" allowBlank="1" showInputMessage="1" showErrorMessage="1" errorTitle="Coord_spacing" error="Enter the leg coordinate or the spacing between legs and leave the other cell blank._x000a_" sqref="J60:AA60 N66:AA66 J119:AA119 J66:K66 J7:AA7">
      <formula1>(I8="")</formula1>
    </dataValidation>
    <dataValidation type="custom" allowBlank="1" showInputMessage="1" showErrorMessage="1" errorTitle="Coord_spacing" error="Enter the leg coordinate or the spacing between legs and leave the other cell blank._x000a_" sqref="I120:Z120 I67:Z67 I8:Z8 M61:Z61">
      <formula1>(J7="")</formula1>
    </dataValidation>
    <dataValidation allowBlank="1" showInputMessage="1" showErrorMessage="1" errorTitle="Coord_spacing" error="Enter the leg coordinate or the spacing between legs and leave the other cell blank._x000a_" sqref="H7:I7 H66:I66 H119:I119"/>
    <dataValidation allowBlank="1" showInputMessage="1" showErrorMessage="1" promptTitle="Spacing between the legs" prompt="Give either the leg coordinate or the spacing between the legs, not both." sqref="G8 G61 G67"/>
    <dataValidation allowBlank="1" showInputMessage="1" showErrorMessage="1" promptTitle="Top coordinates / leg batter" prompt="Toggels between coordinate in top of leg or leg batter as input" sqref="G2:H2 H3"/>
    <dataValidation allowBlank="1" showInputMessage="1" showErrorMessage="1" promptTitle="Braces" prompt="Braces between the legs:_x000a_No for no brace_x000a_X for X-brace_x000a_/  for diagonal up_x000a_\  for diagonal down" sqref="G68"/>
    <dataValidation allowBlank="1" showInputMessage="1" showErrorMessage="1" promptTitle="Name labels for the elevations" prompt="Accumulated elevations _x000a_are shown in ( )" sqref="E10"/>
    <dataValidation allowBlank="1" showInputMessage="1" showErrorMessage="1" errorTitle="Elevation_spacing" error="Enter the elevation or the spacing between elevations and leave the other cell blank._x000a_" sqref="G56:G57"/>
  </dataValidations>
  <pageMargins left="0.75" right="0.75" top="1" bottom="1" header="0.5" footer="0.5"/>
  <pageSetup paperSize="9" scale="99" fitToHeight="2" orientation="landscape" r:id="rId1"/>
  <headerFooter alignWithMargins="0"/>
  <drawing r:id="rId2"/>
  <legacyDrawing r:id="rId3"/>
  <controls>
    <mc:AlternateContent xmlns:mc="http://schemas.openxmlformats.org/markup-compatibility/2006">
      <mc:Choice Requires="x14">
        <control shapeId="9686" r:id="rId4" name="HelpButton">
          <controlPr defaultSize="0" autoLine="0" r:id="rId5">
            <anchor moveWithCells="1">
              <from>
                <xdr:col>56</xdr:col>
                <xdr:colOff>295275</xdr:colOff>
                <xdr:row>0</xdr:row>
                <xdr:rowOff>66675</xdr:rowOff>
              </from>
              <to>
                <xdr:col>58</xdr:col>
                <xdr:colOff>85725</xdr:colOff>
                <xdr:row>2</xdr:row>
                <xdr:rowOff>76200</xdr:rowOff>
              </to>
            </anchor>
          </controlPr>
        </control>
      </mc:Choice>
      <mc:Fallback>
        <control shapeId="9686" r:id="rId4" name="HelpButton"/>
      </mc:Fallback>
    </mc:AlternateContent>
    <mc:AlternateContent xmlns:mc="http://schemas.openxmlformats.org/markup-compatibility/2006">
      <mc:Choice Requires="x14">
        <control shapeId="9685" r:id="rId6" name="ToolbarsButton">
          <controlPr defaultSize="0" autoLine="0" r:id="rId7">
            <anchor moveWithCells="1">
              <from>
                <xdr:col>58</xdr:col>
                <xdr:colOff>409575</xdr:colOff>
                <xdr:row>2</xdr:row>
                <xdr:rowOff>19050</xdr:rowOff>
              </from>
              <to>
                <xdr:col>60</xdr:col>
                <xdr:colOff>190500</xdr:colOff>
                <xdr:row>4</xdr:row>
                <xdr:rowOff>0</xdr:rowOff>
              </to>
            </anchor>
          </controlPr>
        </control>
      </mc:Choice>
      <mc:Fallback>
        <control shapeId="9685" r:id="rId6" name="ToolbarsButton"/>
      </mc:Fallback>
    </mc:AlternateContent>
    <mc:AlternateContent xmlns:mc="http://schemas.openxmlformats.org/markup-compatibility/2006">
      <mc:Choice Requires="x14">
        <control shapeId="7696" r:id="rId8" name="Run_Genie">
          <controlPr defaultSize="0" autoLine="0" r:id="rId9">
            <anchor moveWithCells="1">
              <from>
                <xdr:col>15</xdr:col>
                <xdr:colOff>304800</xdr:colOff>
                <xdr:row>1</xdr:row>
                <xdr:rowOff>0</xdr:rowOff>
              </from>
              <to>
                <xdr:col>56</xdr:col>
                <xdr:colOff>19050</xdr:colOff>
                <xdr:row>2</xdr:row>
                <xdr:rowOff>85725</xdr:rowOff>
              </to>
            </anchor>
          </controlPr>
        </control>
      </mc:Choice>
      <mc:Fallback>
        <control shapeId="7696" r:id="rId8" name="Run_Genie"/>
      </mc:Fallback>
    </mc:AlternateContent>
    <mc:AlternateContent xmlns:mc="http://schemas.openxmlformats.org/markup-compatibility/2006">
      <mc:Choice Requires="x14">
        <control shapeId="7481" r:id="rId10" name="ProtectionButton">
          <controlPr defaultSize="0" autoLine="0" r:id="rId11">
            <anchor moveWithCells="1" sizeWithCells="1">
              <from>
                <xdr:col>58</xdr:col>
                <xdr:colOff>409575</xdr:colOff>
                <xdr:row>0</xdr:row>
                <xdr:rowOff>28575</xdr:rowOff>
              </from>
              <to>
                <xdr:col>60</xdr:col>
                <xdr:colOff>180975</xdr:colOff>
                <xdr:row>2</xdr:row>
                <xdr:rowOff>0</xdr:rowOff>
              </to>
            </anchor>
          </controlPr>
        </control>
      </mc:Choice>
      <mc:Fallback>
        <control shapeId="7481" r:id="rId10" name="ProtectionButton"/>
      </mc:Fallback>
    </mc:AlternateContent>
    <mc:AlternateContent xmlns:mc="http://schemas.openxmlformats.org/markup-compatibility/2006">
      <mc:Choice Requires="x14">
        <control shapeId="1584" r:id="rId12" name="Coord_Batter">
          <controlPr defaultSize="0" autoLine="0" r:id="rId13">
            <anchor moveWithCells="1" sizeWithCells="1">
              <from>
                <xdr:col>5</xdr:col>
                <xdr:colOff>152400</xdr:colOff>
                <xdr:row>1</xdr:row>
                <xdr:rowOff>0</xdr:rowOff>
              </from>
              <to>
                <xdr:col>6</xdr:col>
                <xdr:colOff>561975</xdr:colOff>
                <xdr:row>2</xdr:row>
                <xdr:rowOff>85725</xdr:rowOff>
              </to>
            </anchor>
          </controlPr>
        </control>
      </mc:Choice>
      <mc:Fallback>
        <control shapeId="1584" r:id="rId12" name="Coord_Batter"/>
      </mc:Fallback>
    </mc:AlternateContent>
    <mc:AlternateContent xmlns:mc="http://schemas.openxmlformats.org/markup-compatibility/2006">
      <mc:Choice Requires="x14">
        <control shapeId="1049" r:id="rId14" name="PreviewUpdate">
          <controlPr defaultSize="0" autoLine="0" r:id="rId15">
            <anchor moveWithCells="1" sizeWithCells="1">
              <from>
                <xdr:col>7</xdr:col>
                <xdr:colOff>247650</xdr:colOff>
                <xdr:row>1</xdr:row>
                <xdr:rowOff>0</xdr:rowOff>
              </from>
              <to>
                <xdr:col>10</xdr:col>
                <xdr:colOff>285750</xdr:colOff>
                <xdr:row>2</xdr:row>
                <xdr:rowOff>85725</xdr:rowOff>
              </to>
            </anchor>
          </controlPr>
        </control>
      </mc:Choice>
      <mc:Fallback>
        <control shapeId="1049" r:id="rId14" name="PreviewUpdate"/>
      </mc:Fallback>
    </mc:AlternateContent>
    <mc:AlternateContent xmlns:mc="http://schemas.openxmlformats.org/markup-compatibility/2006">
      <mc:Choice Requires="x14">
        <control shapeId="1026" r:id="rId16" name="Write_js">
          <controlPr defaultSize="0" autoLine="0" r:id="rId17">
            <anchor moveWithCells="1" sizeWithCells="1">
              <from>
                <xdr:col>11</xdr:col>
                <xdr:colOff>238125</xdr:colOff>
                <xdr:row>1</xdr:row>
                <xdr:rowOff>0</xdr:rowOff>
              </from>
              <to>
                <xdr:col>15</xdr:col>
                <xdr:colOff>28575</xdr:colOff>
                <xdr:row>2</xdr:row>
                <xdr:rowOff>85725</xdr:rowOff>
              </to>
            </anchor>
          </controlPr>
        </control>
      </mc:Choice>
      <mc:Fallback>
        <control shapeId="1026" r:id="rId16" name="Write_j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_Help"/>
  <dimension ref="A1:BR168"/>
  <sheetViews>
    <sheetView showRowColHeaders="0" workbookViewId="0">
      <selection activeCell="BF5" sqref="BF5"/>
    </sheetView>
  </sheetViews>
  <sheetFormatPr defaultRowHeight="12.75" x14ac:dyDescent="0.2"/>
  <cols>
    <col min="2" max="2" width="22.42578125" customWidth="1"/>
    <col min="3" max="3" width="12.85546875" customWidth="1"/>
    <col min="4" max="4" width="4.7109375" customWidth="1"/>
    <col min="5" max="5" width="10.85546875" customWidth="1"/>
    <col min="8" max="19" width="4.85546875" customWidth="1"/>
    <col min="20" max="27" width="4.85546875" hidden="1" customWidth="1"/>
    <col min="28" max="57" width="9.140625" hidden="1" customWidth="1"/>
    <col min="59" max="70" width="9.140625" style="4"/>
  </cols>
  <sheetData>
    <row r="1" spans="1:60" x14ac:dyDescent="0.2">
      <c r="A1" s="76"/>
      <c r="B1" s="76"/>
      <c r="C1" s="76"/>
      <c r="D1" s="76"/>
      <c r="E1" s="83"/>
      <c r="F1" s="83"/>
      <c r="G1" s="83"/>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c r="BF1" s="76"/>
      <c r="BG1" s="76"/>
      <c r="BH1" s="76"/>
    </row>
    <row r="2" spans="1:60" ht="18" x14ac:dyDescent="0.25">
      <c r="A2" s="76"/>
      <c r="B2" s="84" t="s">
        <v>96</v>
      </c>
      <c r="C2" s="85"/>
      <c r="D2" s="85"/>
      <c r="E2" s="86"/>
      <c r="F2" s="76"/>
      <c r="G2" s="87"/>
      <c r="H2" s="88" t="s">
        <v>339</v>
      </c>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row>
    <row r="3" spans="1:60" ht="18" x14ac:dyDescent="0.25">
      <c r="A3" s="76"/>
      <c r="B3" s="89" t="s">
        <v>91</v>
      </c>
      <c r="C3" s="233" t="s">
        <v>92</v>
      </c>
      <c r="D3" s="234"/>
      <c r="E3" s="235"/>
      <c r="F3" s="76"/>
      <c r="G3" s="76"/>
      <c r="H3" s="87"/>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row>
    <row r="4" spans="1:60" x14ac:dyDescent="0.2">
      <c r="A4" s="76"/>
      <c r="B4" s="76"/>
      <c r="C4" s="76"/>
      <c r="D4" s="76"/>
      <c r="E4" s="83"/>
      <c r="F4" s="83"/>
      <c r="G4" s="83"/>
      <c r="H4" s="76"/>
      <c r="I4" s="76"/>
      <c r="J4" s="90"/>
      <c r="K4" s="76"/>
      <c r="L4" s="76"/>
      <c r="M4" s="76"/>
      <c r="N4" s="76"/>
      <c r="O4" s="76"/>
      <c r="P4" s="76"/>
      <c r="Q4" s="76"/>
      <c r="R4" s="76"/>
      <c r="S4" s="76"/>
      <c r="T4" s="76"/>
      <c r="U4" s="76"/>
      <c r="V4" s="76"/>
      <c r="W4" s="76"/>
      <c r="X4" s="76"/>
      <c r="Y4" s="76"/>
      <c r="Z4" s="76"/>
      <c r="AA4" s="76"/>
      <c r="AB4" s="76"/>
      <c r="AC4" s="76"/>
      <c r="AD4" s="76"/>
      <c r="AE4" s="76"/>
      <c r="AF4" s="76"/>
      <c r="AG4" s="76"/>
      <c r="AH4" s="76"/>
      <c r="AI4" s="76"/>
      <c r="AJ4" s="76"/>
      <c r="AK4" s="76"/>
      <c r="AL4" s="76"/>
      <c r="AM4" s="76"/>
      <c r="AN4" s="76"/>
      <c r="AO4" s="76"/>
      <c r="AP4" s="76"/>
      <c r="AQ4" s="76"/>
      <c r="AR4" s="76"/>
      <c r="AS4" s="76"/>
      <c r="AT4" s="76"/>
      <c r="AU4" s="76"/>
      <c r="AV4" s="76"/>
      <c r="AW4" s="76"/>
      <c r="AX4" s="76"/>
      <c r="AY4" s="76"/>
      <c r="AZ4" s="76"/>
      <c r="BA4" s="76"/>
      <c r="BB4" s="76"/>
      <c r="BC4" s="76"/>
      <c r="BD4" s="76"/>
      <c r="BE4" s="76"/>
      <c r="BF4" s="76"/>
      <c r="BG4" s="76"/>
      <c r="BH4" s="76"/>
    </row>
    <row r="5" spans="1:60" x14ac:dyDescent="0.2">
      <c r="A5" s="76"/>
      <c r="B5" s="76"/>
      <c r="C5" s="76"/>
      <c r="D5" s="76"/>
      <c r="E5" s="83"/>
      <c r="F5" s="83"/>
      <c r="G5" s="83"/>
      <c r="H5" s="76"/>
      <c r="I5" s="76"/>
      <c r="J5" s="76"/>
      <c r="K5" s="76"/>
      <c r="L5" s="76"/>
      <c r="M5" s="76"/>
      <c r="N5" s="76"/>
      <c r="O5" s="76"/>
      <c r="P5" s="76"/>
      <c r="Q5" s="76"/>
      <c r="R5" s="76"/>
      <c r="S5" s="76"/>
      <c r="T5" s="76"/>
      <c r="U5" s="76"/>
      <c r="V5" s="76"/>
      <c r="W5" s="76"/>
      <c r="X5" s="76"/>
      <c r="Y5" s="76"/>
      <c r="Z5" s="76"/>
      <c r="AA5" s="76"/>
      <c r="AB5" s="76"/>
      <c r="AC5" s="76"/>
      <c r="AD5" s="76"/>
      <c r="AE5" s="76"/>
      <c r="AF5" s="76"/>
      <c r="AG5" s="76"/>
      <c r="AH5" s="76"/>
      <c r="AI5" s="76"/>
      <c r="AJ5" s="76"/>
      <c r="AK5" s="76"/>
      <c r="AL5" s="76"/>
      <c r="AM5" s="76"/>
      <c r="AN5" s="76"/>
      <c r="AO5" s="76"/>
      <c r="AP5" s="76"/>
      <c r="AQ5" s="76"/>
      <c r="AR5" s="76"/>
      <c r="AS5" s="76"/>
      <c r="AT5" s="76"/>
      <c r="AU5" s="76"/>
      <c r="AV5" s="76"/>
      <c r="AW5" s="76"/>
      <c r="AX5" s="76"/>
      <c r="AY5" s="76"/>
      <c r="AZ5" s="76"/>
      <c r="BA5" s="76"/>
      <c r="BB5" s="76"/>
      <c r="BC5" s="76"/>
      <c r="BD5" s="76"/>
      <c r="BE5" s="76"/>
      <c r="BF5" s="76"/>
      <c r="BG5" s="76"/>
      <c r="BH5" s="76"/>
    </row>
    <row r="6" spans="1:60" ht="12.75" customHeight="1" x14ac:dyDescent="0.2">
      <c r="A6" s="76"/>
      <c r="B6" s="91" t="s">
        <v>102</v>
      </c>
      <c r="C6" s="92"/>
      <c r="D6" s="76"/>
      <c r="E6" s="211" t="s">
        <v>15</v>
      </c>
      <c r="F6" s="212"/>
      <c r="G6" s="93" t="s">
        <v>402</v>
      </c>
      <c r="H6" s="177" t="s">
        <v>404</v>
      </c>
      <c r="I6" s="178"/>
      <c r="J6" s="179" t="s">
        <v>405</v>
      </c>
      <c r="K6" s="180"/>
      <c r="L6" s="179" t="s">
        <v>406</v>
      </c>
      <c r="M6" s="180"/>
      <c r="N6" s="179" t="s">
        <v>407</v>
      </c>
      <c r="O6" s="180"/>
      <c r="P6" s="179">
        <v>5</v>
      </c>
      <c r="Q6" s="180"/>
      <c r="R6" s="179">
        <v>6</v>
      </c>
      <c r="S6" s="180"/>
      <c r="T6" s="179" t="str">
        <f>IF(AW9="",T11,CONCATENATE(T11," (",FIXED(AW9,2),")"))</f>
        <v>X7</v>
      </c>
      <c r="U6" s="180"/>
      <c r="V6" s="179" t="str">
        <f>IF(AY9="",V11,CONCATENATE(V11," (",FIXED(AY9,2),")"))</f>
        <v>X8</v>
      </c>
      <c r="W6" s="180"/>
      <c r="X6" s="179" t="str">
        <f>IF(BA9="",X11,CONCATENATE(X11," (",FIXED(BA9,2),")"))</f>
        <v>X9</v>
      </c>
      <c r="Y6" s="180"/>
      <c r="Z6" s="179" t="str">
        <f>IF(BC9="",Z11,CONCATENATE(Z11," (",FIXED(BC9,2),")"))</f>
        <v>X10</v>
      </c>
      <c r="AA6" s="180"/>
      <c r="AB6" s="76"/>
      <c r="AC6" s="76"/>
      <c r="AD6" s="76"/>
      <c r="AE6" s="76"/>
      <c r="AF6" s="76"/>
      <c r="AG6" s="76"/>
      <c r="AH6" s="76"/>
      <c r="AI6" s="94" t="s">
        <v>47</v>
      </c>
      <c r="AJ6" s="95" t="s">
        <v>152</v>
      </c>
      <c r="AK6" s="179" t="s">
        <v>16</v>
      </c>
      <c r="AL6" s="180"/>
      <c r="AM6" s="179" t="s">
        <v>17</v>
      </c>
      <c r="AN6" s="180"/>
      <c r="AO6" s="179" t="s">
        <v>18</v>
      </c>
      <c r="AP6" s="180"/>
      <c r="AQ6" s="179" t="s">
        <v>19</v>
      </c>
      <c r="AR6" s="180"/>
      <c r="AS6" s="179" t="s">
        <v>20</v>
      </c>
      <c r="AT6" s="180"/>
      <c r="AU6" s="179" t="s">
        <v>21</v>
      </c>
      <c r="AV6" s="180"/>
      <c r="AW6" s="179" t="s">
        <v>22</v>
      </c>
      <c r="AX6" s="180"/>
      <c r="AY6" s="179" t="s">
        <v>23</v>
      </c>
      <c r="AZ6" s="180"/>
      <c r="BA6" s="179" t="s">
        <v>24</v>
      </c>
      <c r="BB6" s="180"/>
      <c r="BC6" s="179" t="s">
        <v>150</v>
      </c>
      <c r="BD6" s="180"/>
      <c r="BE6" s="76"/>
      <c r="BF6" s="76"/>
      <c r="BG6" s="76"/>
      <c r="BH6" s="76"/>
    </row>
    <row r="7" spans="1:60" x14ac:dyDescent="0.2">
      <c r="A7" s="76"/>
      <c r="B7" s="91" t="s">
        <v>97</v>
      </c>
      <c r="C7" s="96" t="s">
        <v>103</v>
      </c>
      <c r="D7" s="76"/>
      <c r="E7" s="213"/>
      <c r="F7" s="214"/>
      <c r="G7" s="97" t="s">
        <v>154</v>
      </c>
      <c r="H7" s="195">
        <v>0.1</v>
      </c>
      <c r="I7" s="203"/>
      <c r="J7" s="195">
        <v>0</v>
      </c>
      <c r="K7" s="203"/>
      <c r="L7" s="195">
        <v>0</v>
      </c>
      <c r="M7" s="203"/>
      <c r="N7" s="225">
        <v>-0.1</v>
      </c>
      <c r="O7" s="203"/>
      <c r="P7" s="195"/>
      <c r="Q7" s="195"/>
      <c r="R7" s="195"/>
      <c r="S7" s="195"/>
      <c r="T7" s="195"/>
      <c r="U7" s="195"/>
      <c r="V7" s="195"/>
      <c r="W7" s="195"/>
      <c r="X7" s="195"/>
      <c r="Y7" s="195"/>
      <c r="Z7" s="253"/>
      <c r="AA7" s="254"/>
      <c r="AB7" s="76"/>
      <c r="AC7" s="76"/>
      <c r="AD7" s="76"/>
      <c r="AE7" s="76"/>
      <c r="AF7" s="76"/>
      <c r="AG7" s="76"/>
      <c r="AH7" s="76"/>
      <c r="AI7" s="94"/>
      <c r="AJ7" s="98" t="s">
        <v>151</v>
      </c>
      <c r="AK7" s="253">
        <f>H7</f>
        <v>0.1</v>
      </c>
      <c r="AL7" s="207"/>
      <c r="AM7" s="253">
        <f>IF(J7="",IF(I8="","",AK7+I8),J7)</f>
        <v>0</v>
      </c>
      <c r="AN7" s="207"/>
      <c r="AO7" s="253">
        <f>IF(L7="",IF(K8="","",AM7+K8),L7)</f>
        <v>0</v>
      </c>
      <c r="AP7" s="207"/>
      <c r="AQ7" s="253">
        <f>IF(N7="",IF(M8="","",AO7+M8),N7)</f>
        <v>-0.1</v>
      </c>
      <c r="AR7" s="207"/>
      <c r="AS7" s="253" t="str">
        <f>IF(P7="",IF(O8="","",AQ7+O8),P7)</f>
        <v/>
      </c>
      <c r="AT7" s="207"/>
      <c r="AU7" s="253" t="str">
        <f>IF(R7="",IF(Q8="","",AS7+Q8),R7)</f>
        <v/>
      </c>
      <c r="AV7" s="207"/>
      <c r="AW7" s="253" t="str">
        <f>IF(T7="",IF(S8="","",AU7+S8),T7)</f>
        <v/>
      </c>
      <c r="AX7" s="207"/>
      <c r="AY7" s="253" t="str">
        <f>IF(V7="",IF(U8="","",AW7+U8),V7)</f>
        <v/>
      </c>
      <c r="AZ7" s="207"/>
      <c r="BA7" s="253" t="str">
        <f>IF(X7="",IF(W8="","",AY7+W8),X7)</f>
        <v/>
      </c>
      <c r="BB7" s="207"/>
      <c r="BC7" s="253" t="str">
        <f>IF(Z7="",IF(Y8="","",BA7+Y8),Z7)</f>
        <v/>
      </c>
      <c r="BD7" s="207"/>
      <c r="BE7" s="76"/>
      <c r="BF7" s="76"/>
      <c r="BG7" s="76"/>
      <c r="BH7" s="76"/>
    </row>
    <row r="8" spans="1:60" ht="12.75" customHeight="1" x14ac:dyDescent="0.2">
      <c r="A8" s="76"/>
      <c r="B8" s="99"/>
      <c r="C8" s="96"/>
      <c r="D8" s="76"/>
      <c r="E8" s="100"/>
      <c r="F8" s="101"/>
      <c r="G8" s="102" t="s">
        <v>149</v>
      </c>
      <c r="H8" s="80"/>
      <c r="I8" s="155"/>
      <c r="J8" s="156"/>
      <c r="K8" s="155"/>
      <c r="L8" s="156"/>
      <c r="M8" s="155"/>
      <c r="N8" s="156"/>
      <c r="O8" s="155"/>
      <c r="P8" s="156"/>
      <c r="Q8" s="155"/>
      <c r="R8" s="156"/>
      <c r="S8" s="80"/>
      <c r="T8" s="80"/>
      <c r="U8" s="155"/>
      <c r="V8" s="156"/>
      <c r="W8" s="155"/>
      <c r="X8" s="156"/>
      <c r="Y8" s="155"/>
      <c r="Z8" s="165"/>
      <c r="AA8" s="103"/>
      <c r="AB8" s="76"/>
      <c r="AC8" s="76"/>
      <c r="AD8" s="76"/>
      <c r="AE8" s="76"/>
      <c r="AF8" s="76"/>
      <c r="AG8" s="76"/>
      <c r="AH8" s="76"/>
      <c r="AI8" s="94"/>
      <c r="AJ8" s="104" t="s">
        <v>149</v>
      </c>
      <c r="AK8" s="93"/>
      <c r="AL8" s="208">
        <f>IF(H7="",IF(I8="","",I8),AM7-AK7)</f>
        <v>-0.1</v>
      </c>
      <c r="AM8" s="209"/>
      <c r="AN8" s="208">
        <f>IF(L7="",IF(K8="","",K8),AO7-AM7)</f>
        <v>0</v>
      </c>
      <c r="AO8" s="209"/>
      <c r="AP8" s="208">
        <f>IF(N7="",IF(M8="","",M8),AQ7-AO7)</f>
        <v>-0.1</v>
      </c>
      <c r="AQ8" s="209"/>
      <c r="AR8" s="208" t="str">
        <f>IF(P7="",IF(O8="","",O8),AS7-AQ7)</f>
        <v/>
      </c>
      <c r="AS8" s="209"/>
      <c r="AT8" s="208" t="str">
        <f>IF(R7="",IF(Q8="","",Q8),AU7-AS7)</f>
        <v/>
      </c>
      <c r="AU8" s="209"/>
      <c r="AV8" s="208" t="str">
        <f>IF(T7="",IF(S8="","",S8),AW7-AU7)</f>
        <v/>
      </c>
      <c r="AW8" s="209"/>
      <c r="AX8" s="208" t="str">
        <f>IF(V7="",IF(U8="","",U8),AY7-AW7)</f>
        <v/>
      </c>
      <c r="AY8" s="209"/>
      <c r="AZ8" s="208" t="str">
        <f>IF(X7="",IF(W8="","",W8),BA7-AY7)</f>
        <v/>
      </c>
      <c r="BA8" s="209"/>
      <c r="BB8" s="208" t="str">
        <f>IF(Z7="",IF(Y8="","",Y8),BC7-BA7)</f>
        <v/>
      </c>
      <c r="BC8" s="209"/>
      <c r="BD8" s="103"/>
      <c r="BE8" s="76"/>
      <c r="BF8" s="76"/>
      <c r="BG8" s="76"/>
      <c r="BH8" s="76"/>
    </row>
    <row r="9" spans="1:60" x14ac:dyDescent="0.2">
      <c r="A9" s="76"/>
      <c r="B9" s="99"/>
      <c r="C9" s="96"/>
      <c r="D9" s="76"/>
      <c r="E9" s="105"/>
      <c r="F9" s="106"/>
      <c r="G9" s="107" t="s">
        <v>4</v>
      </c>
      <c r="H9" s="80"/>
      <c r="I9" s="250" t="s">
        <v>3</v>
      </c>
      <c r="J9" s="251"/>
      <c r="K9" s="251" t="s">
        <v>0</v>
      </c>
      <c r="L9" s="251"/>
      <c r="M9" s="251" t="s">
        <v>2</v>
      </c>
      <c r="N9" s="251"/>
      <c r="O9" s="251"/>
      <c r="P9" s="251"/>
      <c r="Q9" s="251"/>
      <c r="R9" s="251"/>
      <c r="S9" s="80"/>
      <c r="T9" s="80"/>
      <c r="U9" s="251"/>
      <c r="V9" s="251"/>
      <c r="W9" s="251"/>
      <c r="X9" s="251"/>
      <c r="Y9" s="252"/>
      <c r="Z9" s="239"/>
      <c r="AA9" s="103"/>
      <c r="AB9" s="76"/>
      <c r="AC9" s="76"/>
      <c r="AD9" s="76"/>
      <c r="AE9" s="76"/>
      <c r="AF9" s="76"/>
      <c r="AG9" s="76"/>
      <c r="AH9" s="76"/>
      <c r="AI9" s="76"/>
      <c r="AJ9" s="76" t="s">
        <v>158</v>
      </c>
      <c r="AK9" s="231">
        <v>9.8000000000000007</v>
      </c>
      <c r="AL9" s="231"/>
      <c r="AM9" s="231">
        <v>15</v>
      </c>
      <c r="AN9" s="231"/>
      <c r="AO9" s="231">
        <v>25</v>
      </c>
      <c r="AP9" s="231"/>
      <c r="AQ9" s="231">
        <v>30.2</v>
      </c>
      <c r="AR9" s="231"/>
      <c r="AS9" s="231"/>
      <c r="AT9" s="231"/>
      <c r="AU9" s="231"/>
      <c r="AV9" s="231"/>
      <c r="AW9" s="231"/>
      <c r="AX9" s="231"/>
      <c r="AY9" s="231"/>
      <c r="AZ9" s="231"/>
      <c r="BA9" s="231"/>
      <c r="BB9" s="231"/>
      <c r="BC9" s="231"/>
      <c r="BD9" s="231"/>
      <c r="BE9" s="76"/>
      <c r="BF9" s="76"/>
      <c r="BG9" s="76"/>
      <c r="BH9" s="76"/>
    </row>
    <row r="10" spans="1:60" x14ac:dyDescent="0.2">
      <c r="A10" s="76"/>
      <c r="B10" s="91" t="s">
        <v>99</v>
      </c>
      <c r="C10" s="92"/>
      <c r="D10" s="76"/>
      <c r="E10" s="108" t="s">
        <v>49</v>
      </c>
      <c r="F10" s="81" t="s">
        <v>141</v>
      </c>
      <c r="G10" s="81" t="s">
        <v>149</v>
      </c>
      <c r="H10" s="109"/>
      <c r="I10" s="110"/>
      <c r="J10" s="110"/>
      <c r="K10" s="110"/>
      <c r="L10" s="110"/>
      <c r="M10" s="110"/>
      <c r="N10" s="110"/>
      <c r="O10" s="110"/>
      <c r="P10" s="110"/>
      <c r="Q10" s="110"/>
      <c r="R10" s="110"/>
      <c r="S10" s="110"/>
      <c r="T10" s="110"/>
      <c r="U10" s="110"/>
      <c r="V10" s="110"/>
      <c r="W10" s="110"/>
      <c r="X10" s="110"/>
      <c r="Y10" s="110"/>
      <c r="Z10" s="109"/>
      <c r="AA10" s="109"/>
      <c r="AB10" s="76"/>
      <c r="AC10" s="76"/>
      <c r="AD10" s="76"/>
      <c r="AE10" s="76"/>
      <c r="AF10" s="76"/>
      <c r="AG10" s="76"/>
      <c r="AH10" s="111"/>
      <c r="AI10" s="94" t="s">
        <v>5</v>
      </c>
      <c r="AJ10" s="94" t="s">
        <v>48</v>
      </c>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row>
    <row r="11" spans="1:60" ht="6.6" customHeight="1" x14ac:dyDescent="0.25">
      <c r="A11" s="76"/>
      <c r="B11" s="223" t="s">
        <v>98</v>
      </c>
      <c r="C11" s="224" t="s">
        <v>353</v>
      </c>
      <c r="D11" s="232"/>
      <c r="E11" s="202" t="s">
        <v>455</v>
      </c>
      <c r="F11" s="219"/>
      <c r="G11" s="82"/>
      <c r="H11" s="204" t="str">
        <f>General!F73</f>
        <v>B</v>
      </c>
      <c r="I11" s="205"/>
      <c r="J11" s="204" t="str">
        <f>General!F74</f>
        <v>C</v>
      </c>
      <c r="K11" s="205"/>
      <c r="L11" s="204" t="str">
        <f>General!F75</f>
        <v>D</v>
      </c>
      <c r="M11" s="205"/>
      <c r="N11" s="204" t="str">
        <f>General!F76</f>
        <v>E</v>
      </c>
      <c r="O11" s="205"/>
      <c r="P11" s="204" t="str">
        <f>General!F77</f>
        <v>F</v>
      </c>
      <c r="Q11" s="205"/>
      <c r="R11" s="204" t="str">
        <f>General!F78</f>
        <v>G</v>
      </c>
      <c r="S11" s="205"/>
      <c r="T11" s="204" t="s">
        <v>22</v>
      </c>
      <c r="U11" s="204"/>
      <c r="V11" s="204" t="s">
        <v>23</v>
      </c>
      <c r="W11" s="204"/>
      <c r="X11" s="204" t="s">
        <v>24</v>
      </c>
      <c r="Y11" s="204"/>
      <c r="Z11" s="204" t="s">
        <v>150</v>
      </c>
      <c r="AA11" s="204"/>
      <c r="AB11" s="76"/>
      <c r="AC11" s="76"/>
      <c r="AD11" s="76"/>
      <c r="AE11" s="76"/>
      <c r="AF11" s="76"/>
      <c r="AG11" s="76"/>
      <c r="AH11" s="227" t="s">
        <v>27</v>
      </c>
      <c r="AI11" s="217" t="str">
        <f>IF(F11="",IF(G12="","",G12+AI13),F11)</f>
        <v/>
      </c>
      <c r="AJ11" s="112"/>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row>
    <row r="12" spans="1:60" ht="6.6" customHeight="1" x14ac:dyDescent="0.2">
      <c r="A12" s="76"/>
      <c r="B12" s="199"/>
      <c r="C12" s="199"/>
      <c r="D12" s="232"/>
      <c r="E12" s="203"/>
      <c r="F12" s="220"/>
      <c r="G12" s="219"/>
      <c r="H12" s="109"/>
      <c r="I12" s="110"/>
      <c r="J12" s="110"/>
      <c r="K12" s="110"/>
      <c r="L12" s="110"/>
      <c r="M12" s="110"/>
      <c r="N12" s="110"/>
      <c r="O12" s="110"/>
      <c r="P12" s="110"/>
      <c r="Q12" s="110"/>
      <c r="R12" s="110"/>
      <c r="S12" s="110"/>
      <c r="T12" s="110"/>
      <c r="U12" s="110"/>
      <c r="V12" s="110"/>
      <c r="W12" s="110"/>
      <c r="X12" s="110"/>
      <c r="Y12" s="110"/>
      <c r="Z12" s="109"/>
      <c r="AA12" s="109"/>
      <c r="AB12" s="76"/>
      <c r="AC12" s="76"/>
      <c r="AD12" s="76"/>
      <c r="AE12" s="76"/>
      <c r="AF12" s="76"/>
      <c r="AG12" s="76"/>
      <c r="AH12" s="227"/>
      <c r="AI12" s="218"/>
      <c r="AJ12" s="221" t="str">
        <f>IF(F11="",IF(G12="","",G12),AI11-AI13)</f>
        <v/>
      </c>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row>
    <row r="13" spans="1:60" ht="6.6" customHeight="1" x14ac:dyDescent="0.2">
      <c r="A13" s="76"/>
      <c r="B13" s="223" t="s">
        <v>100</v>
      </c>
      <c r="C13" s="224" t="s">
        <v>107</v>
      </c>
      <c r="D13" s="76"/>
      <c r="E13" s="202" t="s">
        <v>27</v>
      </c>
      <c r="F13" s="219"/>
      <c r="G13" s="220"/>
      <c r="H13" s="109"/>
      <c r="I13" s="110"/>
      <c r="J13" s="110"/>
      <c r="K13" s="110"/>
      <c r="L13" s="110"/>
      <c r="M13" s="110"/>
      <c r="N13" s="110"/>
      <c r="O13" s="110"/>
      <c r="P13" s="110"/>
      <c r="Q13" s="110"/>
      <c r="R13" s="110"/>
      <c r="S13" s="110"/>
      <c r="T13" s="110"/>
      <c r="U13" s="110"/>
      <c r="V13" s="110"/>
      <c r="W13" s="110"/>
      <c r="X13" s="110"/>
      <c r="Y13" s="110"/>
      <c r="Z13" s="109"/>
      <c r="AA13" s="109"/>
      <c r="AB13" s="76"/>
      <c r="AC13" s="76"/>
      <c r="AD13" s="76"/>
      <c r="AE13" s="76"/>
      <c r="AF13" s="76"/>
      <c r="AG13" s="76"/>
      <c r="AH13" s="227" t="s">
        <v>28</v>
      </c>
      <c r="AI13" s="217" t="str">
        <f>IF(F13="",IF(G14="","",G14+AI15),F13)</f>
        <v/>
      </c>
      <c r="AJ13" s="222"/>
      <c r="AK13" s="76"/>
      <c r="AL13" s="76"/>
      <c r="AM13" s="76"/>
      <c r="AN13" s="76"/>
      <c r="AO13" s="76"/>
      <c r="AP13" s="76"/>
      <c r="AQ13" s="76"/>
      <c r="AR13" s="76"/>
      <c r="AS13" s="76"/>
      <c r="AT13" s="76"/>
      <c r="AU13" s="76"/>
      <c r="AV13" s="76"/>
      <c r="AW13" s="76"/>
      <c r="AX13" s="76"/>
      <c r="AY13" s="76"/>
      <c r="AZ13" s="76"/>
      <c r="BA13" s="76"/>
      <c r="BB13" s="76"/>
      <c r="BC13" s="76"/>
      <c r="BD13" s="76"/>
      <c r="BE13" s="76"/>
      <c r="BF13" s="76"/>
      <c r="BG13" s="76"/>
      <c r="BH13" s="76"/>
    </row>
    <row r="14" spans="1:60" ht="6.6" customHeight="1" x14ac:dyDescent="0.2">
      <c r="A14" s="76"/>
      <c r="B14" s="199"/>
      <c r="C14" s="199"/>
      <c r="D14" s="76"/>
      <c r="E14" s="203"/>
      <c r="F14" s="220"/>
      <c r="G14" s="219"/>
      <c r="H14" s="109"/>
      <c r="I14" s="110"/>
      <c r="J14" s="110"/>
      <c r="K14" s="110"/>
      <c r="L14" s="110"/>
      <c r="M14" s="110"/>
      <c r="N14" s="110"/>
      <c r="O14" s="110"/>
      <c r="P14" s="110"/>
      <c r="Q14" s="110"/>
      <c r="R14" s="110"/>
      <c r="S14" s="110"/>
      <c r="T14" s="110"/>
      <c r="U14" s="110"/>
      <c r="V14" s="110"/>
      <c r="W14" s="110"/>
      <c r="X14" s="110"/>
      <c r="Y14" s="110"/>
      <c r="Z14" s="109"/>
      <c r="AA14" s="109"/>
      <c r="AB14" s="76"/>
      <c r="AC14" s="76"/>
      <c r="AD14" s="76"/>
      <c r="AE14" s="76"/>
      <c r="AF14" s="76"/>
      <c r="AG14" s="76"/>
      <c r="AH14" s="228"/>
      <c r="AI14" s="218"/>
      <c r="AJ14" s="221" t="str">
        <f>IF(F13="",IF(G14="","",G14),AI13-AI15)</f>
        <v/>
      </c>
      <c r="AK14" s="76"/>
      <c r="AL14" s="76"/>
      <c r="AM14" s="76"/>
      <c r="AN14" s="76"/>
      <c r="AO14" s="76"/>
      <c r="AP14" s="76"/>
      <c r="AQ14" s="76"/>
      <c r="AR14" s="76"/>
      <c r="AS14" s="76"/>
      <c r="AT14" s="76"/>
      <c r="AU14" s="76"/>
      <c r="AV14" s="76"/>
      <c r="AW14" s="76"/>
      <c r="AX14" s="76"/>
      <c r="AY14" s="76"/>
      <c r="AZ14" s="76"/>
      <c r="BA14" s="76"/>
      <c r="BB14" s="76"/>
      <c r="BC14" s="76"/>
      <c r="BD14" s="76"/>
      <c r="BE14" s="76"/>
      <c r="BF14" s="76"/>
      <c r="BG14" s="76"/>
      <c r="BH14" s="76"/>
    </row>
    <row r="15" spans="1:60" ht="6.6" customHeight="1" x14ac:dyDescent="0.2">
      <c r="A15" s="76"/>
      <c r="B15" s="223" t="s">
        <v>101</v>
      </c>
      <c r="C15" s="224" t="s">
        <v>108</v>
      </c>
      <c r="D15" s="76"/>
      <c r="E15" s="202" t="s">
        <v>28</v>
      </c>
      <c r="F15" s="219"/>
      <c r="G15" s="220"/>
      <c r="H15" s="109"/>
      <c r="I15" s="110"/>
      <c r="J15" s="110"/>
      <c r="K15" s="110"/>
      <c r="L15" s="110"/>
      <c r="M15" s="110"/>
      <c r="N15" s="110"/>
      <c r="O15" s="110"/>
      <c r="P15" s="110"/>
      <c r="Q15" s="110"/>
      <c r="R15" s="110"/>
      <c r="S15" s="110"/>
      <c r="T15" s="110"/>
      <c r="U15" s="110"/>
      <c r="V15" s="110"/>
      <c r="W15" s="110"/>
      <c r="X15" s="110"/>
      <c r="Y15" s="110"/>
      <c r="Z15" s="109"/>
      <c r="AA15" s="109"/>
      <c r="AB15" s="76"/>
      <c r="AC15" s="76"/>
      <c r="AD15" s="76"/>
      <c r="AE15" s="76"/>
      <c r="AF15" s="76"/>
      <c r="AG15" s="76"/>
      <c r="AH15" s="227" t="s">
        <v>29</v>
      </c>
      <c r="AI15" s="217" t="str">
        <f>IF(F15="",IF(G16="","",G16+AI17),F15)</f>
        <v/>
      </c>
      <c r="AJ15" s="222"/>
      <c r="AK15" s="76"/>
      <c r="AL15" s="76"/>
      <c r="AM15" s="76"/>
      <c r="AN15" s="76"/>
      <c r="AO15" s="76"/>
      <c r="AP15" s="76"/>
      <c r="AQ15" s="76"/>
      <c r="AR15" s="76"/>
      <c r="AS15" s="76"/>
      <c r="AT15" s="76"/>
      <c r="AU15" s="76"/>
      <c r="AV15" s="76"/>
      <c r="AW15" s="76"/>
      <c r="AX15" s="76"/>
      <c r="AY15" s="76"/>
      <c r="AZ15" s="76"/>
      <c r="BA15" s="76"/>
      <c r="BB15" s="76"/>
      <c r="BC15" s="76"/>
      <c r="BD15" s="76"/>
      <c r="BE15" s="76"/>
      <c r="BF15" s="76"/>
      <c r="BG15" s="76"/>
      <c r="BH15" s="76"/>
    </row>
    <row r="16" spans="1:60" ht="6.6" customHeight="1" x14ac:dyDescent="0.2">
      <c r="A16" s="76"/>
      <c r="B16" s="223"/>
      <c r="C16" s="224"/>
      <c r="D16" s="76"/>
      <c r="E16" s="203"/>
      <c r="F16" s="220"/>
      <c r="G16" s="219"/>
      <c r="H16" s="109"/>
      <c r="I16" s="110"/>
      <c r="J16" s="110"/>
      <c r="K16" s="110"/>
      <c r="L16" s="110"/>
      <c r="M16" s="110"/>
      <c r="N16" s="110"/>
      <c r="O16" s="110"/>
      <c r="P16" s="110"/>
      <c r="Q16" s="110"/>
      <c r="R16" s="110"/>
      <c r="S16" s="110"/>
      <c r="T16" s="110"/>
      <c r="U16" s="110"/>
      <c r="V16" s="110"/>
      <c r="W16" s="110"/>
      <c r="X16" s="110"/>
      <c r="Y16" s="110"/>
      <c r="Z16" s="109"/>
      <c r="AA16" s="109"/>
      <c r="AB16" s="76"/>
      <c r="AC16" s="76"/>
      <c r="AD16" s="76"/>
      <c r="AE16" s="76"/>
      <c r="AF16" s="76"/>
      <c r="AG16" s="76"/>
      <c r="AH16" s="227"/>
      <c r="AI16" s="218"/>
      <c r="AJ16" s="221" t="str">
        <f>IF(F15="",IF(G16="","",G16),AI15-AI17)</f>
        <v/>
      </c>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row>
    <row r="17" spans="1:60" ht="6.6" customHeight="1" x14ac:dyDescent="0.2">
      <c r="A17" s="76"/>
      <c r="B17" s="223"/>
      <c r="C17" s="224"/>
      <c r="D17" s="76"/>
      <c r="E17" s="202" t="s">
        <v>29</v>
      </c>
      <c r="F17" s="219"/>
      <c r="G17" s="220"/>
      <c r="H17" s="109"/>
      <c r="I17" s="110"/>
      <c r="J17" s="110"/>
      <c r="K17" s="110"/>
      <c r="L17" s="110"/>
      <c r="M17" s="110"/>
      <c r="N17" s="110"/>
      <c r="O17" s="110"/>
      <c r="P17" s="110"/>
      <c r="Q17" s="110"/>
      <c r="R17" s="110"/>
      <c r="S17" s="110"/>
      <c r="T17" s="110"/>
      <c r="U17" s="110"/>
      <c r="V17" s="110"/>
      <c r="W17" s="110"/>
      <c r="X17" s="110"/>
      <c r="Y17" s="110"/>
      <c r="Z17" s="109"/>
      <c r="AA17" s="109"/>
      <c r="AB17" s="76"/>
      <c r="AC17" s="76"/>
      <c r="AD17" s="76"/>
      <c r="AE17" s="76"/>
      <c r="AF17" s="76"/>
      <c r="AG17" s="76"/>
      <c r="AH17" s="227" t="s">
        <v>30</v>
      </c>
      <c r="AI17" s="217" t="str">
        <f>IF(F17="",IF(G18="","",G18+AI19),F17)</f>
        <v/>
      </c>
      <c r="AJ17" s="222"/>
      <c r="AK17" s="76"/>
      <c r="AL17" s="76"/>
      <c r="AM17" s="76"/>
      <c r="AN17" s="76"/>
      <c r="AO17" s="76"/>
      <c r="AP17" s="76"/>
      <c r="AQ17" s="76"/>
      <c r="AR17" s="76"/>
      <c r="AS17" s="76"/>
      <c r="AT17" s="76"/>
      <c r="AU17" s="76"/>
      <c r="AV17" s="76"/>
      <c r="AW17" s="76"/>
      <c r="AX17" s="76"/>
      <c r="AY17" s="76"/>
      <c r="AZ17" s="76"/>
      <c r="BA17" s="76"/>
      <c r="BB17" s="76"/>
      <c r="BC17" s="76"/>
      <c r="BD17" s="76"/>
      <c r="BE17" s="76"/>
      <c r="BF17" s="76"/>
      <c r="BG17" s="76"/>
      <c r="BH17" s="76"/>
    </row>
    <row r="18" spans="1:60" ht="6.6" customHeight="1" x14ac:dyDescent="0.2">
      <c r="A18" s="76"/>
      <c r="B18" s="223"/>
      <c r="C18" s="224"/>
      <c r="D18" s="76"/>
      <c r="E18" s="203"/>
      <c r="F18" s="220"/>
      <c r="G18" s="219"/>
      <c r="H18" s="109"/>
      <c r="I18" s="110"/>
      <c r="J18" s="110"/>
      <c r="K18" s="110"/>
      <c r="L18" s="110"/>
      <c r="M18" s="110"/>
      <c r="N18" s="110"/>
      <c r="O18" s="110"/>
      <c r="P18" s="110"/>
      <c r="Q18" s="110"/>
      <c r="R18" s="110"/>
      <c r="S18" s="110"/>
      <c r="T18" s="110"/>
      <c r="U18" s="110"/>
      <c r="V18" s="110"/>
      <c r="W18" s="110"/>
      <c r="X18" s="110"/>
      <c r="Y18" s="110"/>
      <c r="Z18" s="109"/>
      <c r="AA18" s="109"/>
      <c r="AB18" s="76"/>
      <c r="AC18" s="76"/>
      <c r="AD18" s="76"/>
      <c r="AE18" s="76"/>
      <c r="AF18" s="76"/>
      <c r="AG18" s="76"/>
      <c r="AH18" s="228"/>
      <c r="AI18" s="218"/>
      <c r="AJ18" s="221" t="str">
        <f>IF(F17="",IF(G18="","",G18),AI17-AI19)</f>
        <v/>
      </c>
      <c r="AK18" s="76"/>
      <c r="AL18" s="76"/>
      <c r="AM18" s="76"/>
      <c r="AN18" s="76"/>
      <c r="AO18" s="76"/>
      <c r="AP18" s="76"/>
      <c r="AQ18" s="76"/>
      <c r="AR18" s="76"/>
      <c r="AS18" s="76"/>
      <c r="AT18" s="76"/>
      <c r="AU18" s="76"/>
      <c r="AV18" s="76"/>
      <c r="AW18" s="76"/>
      <c r="AX18" s="76"/>
      <c r="AY18" s="76"/>
      <c r="AZ18" s="76"/>
      <c r="BA18" s="76"/>
      <c r="BB18" s="76"/>
      <c r="BC18" s="76"/>
      <c r="BD18" s="76"/>
      <c r="BE18" s="76"/>
      <c r="BF18" s="76"/>
      <c r="BG18" s="76"/>
      <c r="BH18" s="76"/>
    </row>
    <row r="19" spans="1:60" ht="6.6" customHeight="1" x14ac:dyDescent="0.2">
      <c r="A19" s="76"/>
      <c r="B19" s="223"/>
      <c r="C19" s="224"/>
      <c r="D19" s="76"/>
      <c r="E19" s="202" t="s">
        <v>30</v>
      </c>
      <c r="F19" s="219"/>
      <c r="G19" s="220"/>
      <c r="H19" s="109"/>
      <c r="I19" s="110"/>
      <c r="J19" s="110"/>
      <c r="K19" s="110"/>
      <c r="L19" s="110"/>
      <c r="M19" s="110"/>
      <c r="N19" s="110"/>
      <c r="O19" s="110"/>
      <c r="P19" s="110"/>
      <c r="Q19" s="110"/>
      <c r="R19" s="110"/>
      <c r="S19" s="110"/>
      <c r="T19" s="110"/>
      <c r="U19" s="110"/>
      <c r="V19" s="110"/>
      <c r="W19" s="110"/>
      <c r="X19" s="110"/>
      <c r="Y19" s="110"/>
      <c r="Z19" s="109"/>
      <c r="AA19" s="109"/>
      <c r="AB19" s="76"/>
      <c r="AC19" s="76"/>
      <c r="AD19" s="76"/>
      <c r="AE19" s="76"/>
      <c r="AF19" s="76"/>
      <c r="AG19" s="76"/>
      <c r="AH19" s="227" t="s">
        <v>31</v>
      </c>
      <c r="AI19" s="217" t="str">
        <f>IF(F19="",IF(G20="","",G20+AI21),F19)</f>
        <v/>
      </c>
      <c r="AJ19" s="222"/>
      <c r="AK19" s="76"/>
      <c r="AL19" s="76"/>
      <c r="AM19" s="76"/>
      <c r="AN19" s="76"/>
      <c r="AO19" s="76"/>
      <c r="AP19" s="76"/>
      <c r="AQ19" s="76"/>
      <c r="AR19" s="76"/>
      <c r="AS19" s="76"/>
      <c r="AT19" s="76"/>
      <c r="AU19" s="76"/>
      <c r="AV19" s="76"/>
      <c r="AW19" s="76"/>
      <c r="AX19" s="76"/>
      <c r="AY19" s="76"/>
      <c r="AZ19" s="76"/>
      <c r="BA19" s="76"/>
      <c r="BB19" s="76"/>
      <c r="BC19" s="76"/>
      <c r="BD19" s="76"/>
      <c r="BE19" s="76"/>
      <c r="BF19" s="76"/>
      <c r="BG19" s="76"/>
      <c r="BH19" s="76"/>
    </row>
    <row r="20" spans="1:60" ht="6.6" customHeight="1" x14ac:dyDescent="0.2">
      <c r="A20" s="76"/>
      <c r="B20" s="223"/>
      <c r="C20" s="199"/>
      <c r="D20" s="76"/>
      <c r="E20" s="203"/>
      <c r="F20" s="220"/>
      <c r="G20" s="219"/>
      <c r="H20" s="109"/>
      <c r="I20" s="110"/>
      <c r="J20" s="110"/>
      <c r="K20" s="110"/>
      <c r="L20" s="110"/>
      <c r="M20" s="110"/>
      <c r="N20" s="110"/>
      <c r="O20" s="110"/>
      <c r="P20" s="110"/>
      <c r="Q20" s="110"/>
      <c r="R20" s="110"/>
      <c r="S20" s="110"/>
      <c r="T20" s="110"/>
      <c r="U20" s="110"/>
      <c r="V20" s="110"/>
      <c r="W20" s="110"/>
      <c r="X20" s="110"/>
      <c r="Y20" s="110"/>
      <c r="Z20" s="109"/>
      <c r="AA20" s="109"/>
      <c r="AB20" s="76"/>
      <c r="AC20" s="76"/>
      <c r="AD20" s="76"/>
      <c r="AE20" s="76"/>
      <c r="AF20" s="76"/>
      <c r="AG20" s="76"/>
      <c r="AH20" s="227"/>
      <c r="AI20" s="218"/>
      <c r="AJ20" s="221" t="str">
        <f>IF(F19="",IF(G20="","",G20),AI19-AI21)</f>
        <v/>
      </c>
      <c r="AK20" s="76"/>
      <c r="AL20" s="76"/>
      <c r="AM20" s="76"/>
      <c r="AN20" s="76"/>
      <c r="AO20" s="76"/>
      <c r="AP20" s="76"/>
      <c r="AQ20" s="76"/>
      <c r="AR20" s="76"/>
      <c r="AS20" s="76"/>
      <c r="AT20" s="76"/>
      <c r="AU20" s="76"/>
      <c r="AV20" s="76"/>
      <c r="AW20" s="76"/>
      <c r="AX20" s="76"/>
      <c r="AY20" s="76"/>
      <c r="AZ20" s="76"/>
      <c r="BA20" s="76"/>
      <c r="BB20" s="76"/>
      <c r="BC20" s="76"/>
      <c r="BD20" s="76"/>
      <c r="BE20" s="76"/>
      <c r="BF20" s="76"/>
      <c r="BG20" s="76"/>
      <c r="BH20" s="76"/>
    </row>
    <row r="21" spans="1:60" ht="6.6" customHeight="1" x14ac:dyDescent="0.2">
      <c r="A21" s="76"/>
      <c r="B21" s="223"/>
      <c r="C21" s="224"/>
      <c r="D21" s="76"/>
      <c r="E21" s="202" t="s">
        <v>31</v>
      </c>
      <c r="F21" s="219"/>
      <c r="G21" s="220"/>
      <c r="H21" s="109"/>
      <c r="I21" s="110"/>
      <c r="J21" s="110"/>
      <c r="K21" s="110"/>
      <c r="L21" s="110"/>
      <c r="M21" s="110"/>
      <c r="N21" s="110"/>
      <c r="O21" s="110"/>
      <c r="P21" s="110"/>
      <c r="Q21" s="110"/>
      <c r="R21" s="110"/>
      <c r="S21" s="110"/>
      <c r="T21" s="110"/>
      <c r="U21" s="110"/>
      <c r="V21" s="110"/>
      <c r="W21" s="110"/>
      <c r="X21" s="110"/>
      <c r="Y21" s="110"/>
      <c r="Z21" s="109"/>
      <c r="AA21" s="109"/>
      <c r="AB21" s="76"/>
      <c r="AC21" s="76"/>
      <c r="AD21" s="76"/>
      <c r="AE21" s="76"/>
      <c r="AF21" s="76"/>
      <c r="AG21" s="76"/>
      <c r="AH21" s="227" t="s">
        <v>32</v>
      </c>
      <c r="AI21" s="217" t="str">
        <f>IF(F21="",IF(G22="","",G22+AI23),F21)</f>
        <v/>
      </c>
      <c r="AJ21" s="222"/>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row>
    <row r="22" spans="1:60" ht="6.6" customHeight="1" x14ac:dyDescent="0.2">
      <c r="A22" s="76"/>
      <c r="B22" s="229"/>
      <c r="C22" s="230"/>
      <c r="D22" s="76"/>
      <c r="E22" s="203"/>
      <c r="F22" s="220"/>
      <c r="G22" s="219"/>
      <c r="H22" s="109"/>
      <c r="I22" s="110"/>
      <c r="J22" s="110"/>
      <c r="K22" s="110"/>
      <c r="L22" s="110"/>
      <c r="M22" s="110"/>
      <c r="N22" s="110"/>
      <c r="O22" s="110"/>
      <c r="P22" s="110"/>
      <c r="Q22" s="110"/>
      <c r="R22" s="110"/>
      <c r="S22" s="110"/>
      <c r="T22" s="110"/>
      <c r="U22" s="110"/>
      <c r="V22" s="110"/>
      <c r="W22" s="110"/>
      <c r="X22" s="110"/>
      <c r="Y22" s="110"/>
      <c r="Z22" s="109"/>
      <c r="AA22" s="109"/>
      <c r="AB22" s="76"/>
      <c r="AC22" s="76"/>
      <c r="AD22" s="76"/>
      <c r="AE22" s="76"/>
      <c r="AF22" s="76"/>
      <c r="AG22" s="76"/>
      <c r="AH22" s="228"/>
      <c r="AI22" s="218"/>
      <c r="AJ22" s="221" t="str">
        <f>IF(F21="",IF(G22="","",G22),AI21-AI23)</f>
        <v/>
      </c>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row>
    <row r="23" spans="1:60" ht="6.6" customHeight="1" x14ac:dyDescent="0.2">
      <c r="A23" s="76"/>
      <c r="B23" s="246" t="s">
        <v>166</v>
      </c>
      <c r="C23" s="248"/>
      <c r="D23" s="76"/>
      <c r="E23" s="202" t="s">
        <v>32</v>
      </c>
      <c r="F23" s="219"/>
      <c r="G23" s="220"/>
      <c r="H23" s="109"/>
      <c r="I23" s="110"/>
      <c r="J23" s="110"/>
      <c r="K23" s="110"/>
      <c r="L23" s="110"/>
      <c r="M23" s="110"/>
      <c r="N23" s="110"/>
      <c r="O23" s="110"/>
      <c r="P23" s="110"/>
      <c r="Q23" s="110"/>
      <c r="R23" s="110"/>
      <c r="S23" s="110"/>
      <c r="T23" s="110"/>
      <c r="U23" s="110"/>
      <c r="V23" s="110"/>
      <c r="W23" s="110"/>
      <c r="X23" s="110"/>
      <c r="Y23" s="110"/>
      <c r="Z23" s="109"/>
      <c r="AA23" s="109"/>
      <c r="AB23" s="76"/>
      <c r="AC23" s="76"/>
      <c r="AD23" s="76"/>
      <c r="AE23" s="76"/>
      <c r="AF23" s="76"/>
      <c r="AG23" s="76"/>
      <c r="AH23" s="227" t="s">
        <v>33</v>
      </c>
      <c r="AI23" s="217" t="str">
        <f>IF(F23="",IF(G24="","",G24+AI25),F23)</f>
        <v/>
      </c>
      <c r="AJ23" s="222"/>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row>
    <row r="24" spans="1:60" ht="6.6" customHeight="1" x14ac:dyDescent="0.2">
      <c r="A24" s="76"/>
      <c r="B24" s="247"/>
      <c r="C24" s="249"/>
      <c r="D24" s="76"/>
      <c r="E24" s="203"/>
      <c r="F24" s="220"/>
      <c r="G24" s="219"/>
      <c r="H24" s="109"/>
      <c r="I24" s="110"/>
      <c r="J24" s="110"/>
      <c r="K24" s="110"/>
      <c r="L24" s="110"/>
      <c r="M24" s="110"/>
      <c r="N24" s="110"/>
      <c r="O24" s="110"/>
      <c r="P24" s="110"/>
      <c r="Q24" s="110"/>
      <c r="R24" s="110"/>
      <c r="S24" s="110"/>
      <c r="T24" s="110"/>
      <c r="U24" s="110"/>
      <c r="V24" s="110"/>
      <c r="W24" s="110"/>
      <c r="X24" s="110"/>
      <c r="Y24" s="110"/>
      <c r="Z24" s="109"/>
      <c r="AA24" s="109"/>
      <c r="AB24" s="76"/>
      <c r="AC24" s="76"/>
      <c r="AD24" s="76"/>
      <c r="AE24" s="76"/>
      <c r="AF24" s="76"/>
      <c r="AG24" s="76"/>
      <c r="AH24" s="227"/>
      <c r="AI24" s="218"/>
      <c r="AJ24" s="221" t="str">
        <f>IF(F23="",IF(G24="","",G24),AI23-AI25)</f>
        <v/>
      </c>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row>
    <row r="25" spans="1:60" ht="6.6" customHeight="1" x14ac:dyDescent="0.2">
      <c r="A25" s="76"/>
      <c r="B25" s="244" t="s">
        <v>167</v>
      </c>
      <c r="C25" s="245" t="s">
        <v>322</v>
      </c>
      <c r="D25" s="76"/>
      <c r="E25" s="202" t="s">
        <v>33</v>
      </c>
      <c r="F25" s="219"/>
      <c r="G25" s="220"/>
      <c r="H25" s="109"/>
      <c r="I25" s="110"/>
      <c r="J25" s="110"/>
      <c r="K25" s="110"/>
      <c r="L25" s="110"/>
      <c r="M25" s="110"/>
      <c r="N25" s="110"/>
      <c r="O25" s="110"/>
      <c r="P25" s="110"/>
      <c r="Q25" s="110"/>
      <c r="R25" s="110"/>
      <c r="S25" s="110"/>
      <c r="T25" s="110"/>
      <c r="U25" s="110"/>
      <c r="V25" s="110"/>
      <c r="W25" s="110"/>
      <c r="X25" s="110"/>
      <c r="Y25" s="110"/>
      <c r="Z25" s="109"/>
      <c r="AA25" s="109"/>
      <c r="AB25" s="76"/>
      <c r="AC25" s="76"/>
      <c r="AD25" s="76"/>
      <c r="AE25" s="76"/>
      <c r="AF25" s="76"/>
      <c r="AG25" s="76"/>
      <c r="AH25" s="227" t="s">
        <v>34</v>
      </c>
      <c r="AI25" s="217" t="str">
        <f>IF(F25="",IF(G26="","",G26+AI27),F25)</f>
        <v/>
      </c>
      <c r="AJ25" s="222"/>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row>
    <row r="26" spans="1:60" ht="6.6" customHeight="1" x14ac:dyDescent="0.2">
      <c r="A26" s="76"/>
      <c r="B26" s="223"/>
      <c r="C26" s="199"/>
      <c r="D26" s="76"/>
      <c r="E26" s="203"/>
      <c r="F26" s="220"/>
      <c r="G26" s="219"/>
      <c r="H26" s="109"/>
      <c r="I26" s="110"/>
      <c r="J26" s="110"/>
      <c r="K26" s="110"/>
      <c r="L26" s="110"/>
      <c r="M26" s="110"/>
      <c r="N26" s="110"/>
      <c r="O26" s="110"/>
      <c r="P26" s="110"/>
      <c r="Q26" s="110"/>
      <c r="R26" s="110"/>
      <c r="S26" s="110"/>
      <c r="T26" s="110"/>
      <c r="U26" s="110"/>
      <c r="V26" s="110"/>
      <c r="W26" s="110"/>
      <c r="X26" s="110"/>
      <c r="Y26" s="110"/>
      <c r="Z26" s="109"/>
      <c r="AA26" s="109"/>
      <c r="AB26" s="76"/>
      <c r="AC26" s="76"/>
      <c r="AD26" s="76"/>
      <c r="AE26" s="76"/>
      <c r="AF26" s="76"/>
      <c r="AG26" s="76"/>
      <c r="AH26" s="228"/>
      <c r="AI26" s="218"/>
      <c r="AJ26" s="221" t="str">
        <f>IF(F25="",IF(G26="","",G26),AI25-AI27)</f>
        <v/>
      </c>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row>
    <row r="27" spans="1:60" ht="6.6" customHeight="1" x14ac:dyDescent="0.2">
      <c r="A27" s="76"/>
      <c r="B27" s="223" t="s">
        <v>168</v>
      </c>
      <c r="C27" s="224" t="s">
        <v>332</v>
      </c>
      <c r="D27" s="76"/>
      <c r="E27" s="202" t="s">
        <v>34</v>
      </c>
      <c r="F27" s="219"/>
      <c r="G27" s="220"/>
      <c r="H27" s="109"/>
      <c r="I27" s="110"/>
      <c r="J27" s="110"/>
      <c r="K27" s="110"/>
      <c r="L27" s="110"/>
      <c r="M27" s="110"/>
      <c r="N27" s="110"/>
      <c r="O27" s="110"/>
      <c r="P27" s="110"/>
      <c r="Q27" s="110"/>
      <c r="R27" s="110"/>
      <c r="S27" s="110"/>
      <c r="T27" s="110"/>
      <c r="U27" s="110"/>
      <c r="V27" s="110"/>
      <c r="W27" s="110"/>
      <c r="X27" s="110"/>
      <c r="Y27" s="110"/>
      <c r="Z27" s="109"/>
      <c r="AA27" s="109"/>
      <c r="AB27" s="76"/>
      <c r="AC27" s="76"/>
      <c r="AD27" s="76"/>
      <c r="AE27" s="76"/>
      <c r="AF27" s="76"/>
      <c r="AG27" s="76"/>
      <c r="AH27" s="227" t="s">
        <v>35</v>
      </c>
      <c r="AI27" s="217" t="str">
        <f>IF(F27="",IF(G28="","",G28+AI29),F27)</f>
        <v/>
      </c>
      <c r="AJ27" s="222"/>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row>
    <row r="28" spans="1:60" ht="6.6" customHeight="1" x14ac:dyDescent="0.2">
      <c r="A28" s="76"/>
      <c r="B28" s="223"/>
      <c r="C28" s="199"/>
      <c r="D28" s="76"/>
      <c r="E28" s="203"/>
      <c r="F28" s="220"/>
      <c r="G28" s="219"/>
      <c r="H28" s="109"/>
      <c r="I28" s="110"/>
      <c r="J28" s="110"/>
      <c r="K28" s="110"/>
      <c r="L28" s="110"/>
      <c r="M28" s="110"/>
      <c r="N28" s="110"/>
      <c r="O28" s="110"/>
      <c r="P28" s="110"/>
      <c r="Q28" s="110"/>
      <c r="R28" s="110"/>
      <c r="S28" s="110"/>
      <c r="T28" s="110"/>
      <c r="U28" s="110"/>
      <c r="V28" s="110"/>
      <c r="W28" s="110"/>
      <c r="X28" s="110"/>
      <c r="Y28" s="110"/>
      <c r="Z28" s="109"/>
      <c r="AA28" s="109"/>
      <c r="AB28" s="76"/>
      <c r="AC28" s="76"/>
      <c r="AD28" s="76"/>
      <c r="AE28" s="76"/>
      <c r="AF28" s="76"/>
      <c r="AG28" s="76"/>
      <c r="AH28" s="227"/>
      <c r="AI28" s="218"/>
      <c r="AJ28" s="221" t="str">
        <f>IF(F27="",IF(G28="","",G28),AI27-AI29)</f>
        <v/>
      </c>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row>
    <row r="29" spans="1:60" ht="6.6" customHeight="1" x14ac:dyDescent="0.2">
      <c r="A29" s="76"/>
      <c r="B29" s="223" t="s">
        <v>169</v>
      </c>
      <c r="C29" s="224" t="s">
        <v>326</v>
      </c>
      <c r="D29" s="76"/>
      <c r="E29" s="202" t="s">
        <v>35</v>
      </c>
      <c r="F29" s="219"/>
      <c r="G29" s="220"/>
      <c r="H29" s="109"/>
      <c r="I29" s="110"/>
      <c r="J29" s="110"/>
      <c r="K29" s="110"/>
      <c r="L29" s="110"/>
      <c r="M29" s="110"/>
      <c r="N29" s="110"/>
      <c r="O29" s="110"/>
      <c r="P29" s="110"/>
      <c r="Q29" s="110"/>
      <c r="R29" s="110"/>
      <c r="S29" s="110"/>
      <c r="T29" s="110"/>
      <c r="U29" s="110"/>
      <c r="V29" s="110"/>
      <c r="W29" s="110"/>
      <c r="X29" s="110"/>
      <c r="Y29" s="110"/>
      <c r="Z29" s="109"/>
      <c r="AA29" s="109"/>
      <c r="AB29" s="76"/>
      <c r="AC29" s="76"/>
      <c r="AD29" s="76"/>
      <c r="AE29" s="76"/>
      <c r="AF29" s="76"/>
      <c r="AG29" s="76"/>
      <c r="AH29" s="227" t="s">
        <v>36</v>
      </c>
      <c r="AI29" s="217" t="str">
        <f>IF(F29="",IF(G30="","",G30+AI31),F29)</f>
        <v/>
      </c>
      <c r="AJ29" s="222"/>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row>
    <row r="30" spans="1:60" ht="6.6" customHeight="1" x14ac:dyDescent="0.2">
      <c r="A30" s="76"/>
      <c r="B30" s="223"/>
      <c r="C30" s="199"/>
      <c r="D30" s="76"/>
      <c r="E30" s="203"/>
      <c r="F30" s="220"/>
      <c r="G30" s="219"/>
      <c r="H30" s="109"/>
      <c r="I30" s="110"/>
      <c r="J30" s="110"/>
      <c r="K30" s="110"/>
      <c r="L30" s="110"/>
      <c r="M30" s="110"/>
      <c r="N30" s="110"/>
      <c r="O30" s="110"/>
      <c r="P30" s="110"/>
      <c r="Q30" s="110"/>
      <c r="R30" s="110"/>
      <c r="S30" s="110"/>
      <c r="T30" s="110"/>
      <c r="U30" s="110"/>
      <c r="V30" s="110"/>
      <c r="W30" s="110"/>
      <c r="X30" s="110"/>
      <c r="Y30" s="110"/>
      <c r="Z30" s="109"/>
      <c r="AA30" s="109"/>
      <c r="AB30" s="76"/>
      <c r="AC30" s="76"/>
      <c r="AD30" s="76"/>
      <c r="AE30" s="76"/>
      <c r="AF30" s="76"/>
      <c r="AG30" s="76"/>
      <c r="AH30" s="228"/>
      <c r="AI30" s="218"/>
      <c r="AJ30" s="221" t="str">
        <f>IF(F29="",IF(G30="","",G30),AI29-AI31)</f>
        <v/>
      </c>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row>
    <row r="31" spans="1:60" ht="6.6" customHeight="1" x14ac:dyDescent="0.2">
      <c r="A31" s="76"/>
      <c r="B31" s="223"/>
      <c r="C31" s="224"/>
      <c r="D31" s="76"/>
      <c r="E31" s="202" t="s">
        <v>36</v>
      </c>
      <c r="F31" s="225"/>
      <c r="G31" s="220"/>
      <c r="H31" s="109"/>
      <c r="I31" s="110"/>
      <c r="J31" s="110"/>
      <c r="K31" s="110"/>
      <c r="L31" s="110"/>
      <c r="M31" s="110"/>
      <c r="N31" s="110"/>
      <c r="O31" s="110"/>
      <c r="P31" s="110"/>
      <c r="Q31" s="110"/>
      <c r="R31" s="110"/>
      <c r="S31" s="110"/>
      <c r="T31" s="110"/>
      <c r="U31" s="110"/>
      <c r="V31" s="110"/>
      <c r="W31" s="110"/>
      <c r="X31" s="110"/>
      <c r="Y31" s="110"/>
      <c r="Z31" s="109"/>
      <c r="AA31" s="109"/>
      <c r="AB31" s="76"/>
      <c r="AC31" s="76"/>
      <c r="AD31" s="76"/>
      <c r="AE31" s="76"/>
      <c r="AF31" s="76"/>
      <c r="AG31" s="76"/>
      <c r="AH31" s="227" t="s">
        <v>37</v>
      </c>
      <c r="AI31" s="217" t="str">
        <f>IF(F31="",IF(G32="","",G32+AI33),F31)</f>
        <v/>
      </c>
      <c r="AJ31" s="222"/>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row>
    <row r="32" spans="1:60" ht="6.6" customHeight="1" x14ac:dyDescent="0.2">
      <c r="A32" s="76"/>
      <c r="B32" s="223"/>
      <c r="C32" s="199"/>
      <c r="D32" s="76"/>
      <c r="E32" s="203"/>
      <c r="F32" s="225"/>
      <c r="G32" s="219"/>
      <c r="H32" s="109"/>
      <c r="I32" s="110"/>
      <c r="J32" s="110"/>
      <c r="K32" s="110"/>
      <c r="L32" s="110"/>
      <c r="M32" s="110"/>
      <c r="N32" s="110"/>
      <c r="O32" s="110"/>
      <c r="P32" s="110"/>
      <c r="Q32" s="110"/>
      <c r="R32" s="110"/>
      <c r="S32" s="110"/>
      <c r="T32" s="110"/>
      <c r="U32" s="110"/>
      <c r="V32" s="110"/>
      <c r="W32" s="110"/>
      <c r="X32" s="110"/>
      <c r="Y32" s="110"/>
      <c r="Z32" s="109"/>
      <c r="AA32" s="109"/>
      <c r="AB32" s="76"/>
      <c r="AC32" s="76"/>
      <c r="AD32" s="76"/>
      <c r="AE32" s="76"/>
      <c r="AF32" s="76"/>
      <c r="AG32" s="76"/>
      <c r="AH32" s="227"/>
      <c r="AI32" s="218"/>
      <c r="AJ32" s="221" t="str">
        <f>IF(F31="",IF(G32="","",G32),AI31-AI33)</f>
        <v/>
      </c>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row>
    <row r="33" spans="1:60" ht="6.6" customHeight="1" x14ac:dyDescent="0.2">
      <c r="A33" s="76"/>
      <c r="B33" s="223"/>
      <c r="C33" s="224"/>
      <c r="D33" s="76"/>
      <c r="E33" s="202" t="s">
        <v>37</v>
      </c>
      <c r="F33" s="225"/>
      <c r="G33" s="220"/>
      <c r="H33" s="109"/>
      <c r="I33" s="110"/>
      <c r="J33" s="110"/>
      <c r="K33" s="110"/>
      <c r="L33" s="110"/>
      <c r="M33" s="110"/>
      <c r="N33" s="110"/>
      <c r="O33" s="110"/>
      <c r="P33" s="110"/>
      <c r="Q33" s="110"/>
      <c r="R33" s="110"/>
      <c r="S33" s="110"/>
      <c r="T33" s="110"/>
      <c r="U33" s="110"/>
      <c r="V33" s="110"/>
      <c r="W33" s="110"/>
      <c r="X33" s="110"/>
      <c r="Y33" s="110"/>
      <c r="Z33" s="109"/>
      <c r="AA33" s="109"/>
      <c r="AB33" s="76"/>
      <c r="AC33" s="76"/>
      <c r="AD33" s="76"/>
      <c r="AE33" s="76"/>
      <c r="AF33" s="76"/>
      <c r="AG33" s="76"/>
      <c r="AH33" s="227" t="s">
        <v>38</v>
      </c>
      <c r="AI33" s="217" t="str">
        <f>IF(F33="",IF(G34="","",G34+AI35),F33)</f>
        <v/>
      </c>
      <c r="AJ33" s="222"/>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row>
    <row r="34" spans="1:60" ht="6.6" customHeight="1" x14ac:dyDescent="0.2">
      <c r="A34" s="76"/>
      <c r="B34" s="223"/>
      <c r="C34" s="199"/>
      <c r="D34" s="76"/>
      <c r="E34" s="203"/>
      <c r="F34" s="225"/>
      <c r="G34" s="219"/>
      <c r="H34" s="109"/>
      <c r="I34" s="110"/>
      <c r="J34" s="110"/>
      <c r="K34" s="110"/>
      <c r="L34" s="110"/>
      <c r="M34" s="110"/>
      <c r="N34" s="110"/>
      <c r="O34" s="110"/>
      <c r="P34" s="110"/>
      <c r="Q34" s="110"/>
      <c r="R34" s="110"/>
      <c r="S34" s="110"/>
      <c r="T34" s="110"/>
      <c r="U34" s="110"/>
      <c r="V34" s="110"/>
      <c r="W34" s="110"/>
      <c r="X34" s="110"/>
      <c r="Y34" s="110"/>
      <c r="Z34" s="109"/>
      <c r="AA34" s="109"/>
      <c r="AB34" s="76"/>
      <c r="AC34" s="76"/>
      <c r="AD34" s="76"/>
      <c r="AE34" s="76"/>
      <c r="AF34" s="76"/>
      <c r="AG34" s="76"/>
      <c r="AH34" s="228"/>
      <c r="AI34" s="218"/>
      <c r="AJ34" s="221" t="str">
        <f>IF(F33="",IF(G34="","",G34),AI33-AI35)</f>
        <v/>
      </c>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row>
    <row r="35" spans="1:60" ht="6.6" customHeight="1" x14ac:dyDescent="0.2">
      <c r="A35" s="76"/>
      <c r="B35" s="223"/>
      <c r="C35" s="224"/>
      <c r="D35" s="76"/>
      <c r="E35" s="202" t="s">
        <v>38</v>
      </c>
      <c r="F35" s="225"/>
      <c r="G35" s="220"/>
      <c r="H35" s="109"/>
      <c r="I35" s="110"/>
      <c r="J35" s="110"/>
      <c r="K35" s="110"/>
      <c r="L35" s="110"/>
      <c r="M35" s="110"/>
      <c r="N35" s="110"/>
      <c r="O35" s="110"/>
      <c r="P35" s="110"/>
      <c r="Q35" s="110"/>
      <c r="R35" s="110"/>
      <c r="S35" s="110"/>
      <c r="T35" s="110"/>
      <c r="U35" s="110"/>
      <c r="V35" s="110"/>
      <c r="W35" s="110"/>
      <c r="X35" s="110"/>
      <c r="Y35" s="110"/>
      <c r="Z35" s="109"/>
      <c r="AA35" s="109"/>
      <c r="AB35" s="76"/>
      <c r="AC35" s="76"/>
      <c r="AD35" s="76"/>
      <c r="AE35" s="76"/>
      <c r="AF35" s="76"/>
      <c r="AG35" s="76"/>
      <c r="AH35" s="227" t="s">
        <v>39</v>
      </c>
      <c r="AI35" s="217" t="str">
        <f>IF(F35="",IF(G36="","",G36+AI37),F35)</f>
        <v/>
      </c>
      <c r="AJ35" s="222"/>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row>
    <row r="36" spans="1:60" ht="6.6" customHeight="1" x14ac:dyDescent="0.2">
      <c r="A36" s="76"/>
      <c r="B36" s="223"/>
      <c r="C36" s="199"/>
      <c r="D36" s="76"/>
      <c r="E36" s="203"/>
      <c r="F36" s="225"/>
      <c r="G36" s="219"/>
      <c r="H36" s="109"/>
      <c r="I36" s="110"/>
      <c r="J36" s="110"/>
      <c r="K36" s="110"/>
      <c r="L36" s="110"/>
      <c r="M36" s="110"/>
      <c r="N36" s="110"/>
      <c r="O36" s="110"/>
      <c r="P36" s="110"/>
      <c r="Q36" s="110"/>
      <c r="R36" s="110"/>
      <c r="S36" s="110"/>
      <c r="T36" s="110"/>
      <c r="U36" s="110"/>
      <c r="V36" s="110"/>
      <c r="W36" s="110"/>
      <c r="X36" s="110"/>
      <c r="Y36" s="110"/>
      <c r="Z36" s="109"/>
      <c r="AA36" s="109"/>
      <c r="AB36" s="76"/>
      <c r="AC36" s="76"/>
      <c r="AD36" s="76"/>
      <c r="AE36" s="76"/>
      <c r="AF36" s="76"/>
      <c r="AG36" s="76"/>
      <c r="AH36" s="227"/>
      <c r="AI36" s="218"/>
      <c r="AJ36" s="221" t="str">
        <f>IF(F35="",IF(G36="","",G36),AI35-AI37)</f>
        <v/>
      </c>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row>
    <row r="37" spans="1:60" ht="6.6" customHeight="1" x14ac:dyDescent="0.2">
      <c r="A37" s="76"/>
      <c r="B37" s="223"/>
      <c r="C37" s="224"/>
      <c r="D37" s="76"/>
      <c r="E37" s="202" t="s">
        <v>482</v>
      </c>
      <c r="F37" s="225">
        <v>25</v>
      </c>
      <c r="G37" s="220"/>
      <c r="H37" s="109"/>
      <c r="I37" s="110"/>
      <c r="J37" s="110"/>
      <c r="K37" s="110"/>
      <c r="L37" s="110"/>
      <c r="M37" s="110"/>
      <c r="N37" s="110"/>
      <c r="O37" s="110"/>
      <c r="P37" s="110"/>
      <c r="Q37" s="110"/>
      <c r="R37" s="110"/>
      <c r="S37" s="110"/>
      <c r="T37" s="110"/>
      <c r="U37" s="110"/>
      <c r="V37" s="110"/>
      <c r="W37" s="110"/>
      <c r="X37" s="110"/>
      <c r="Y37" s="110"/>
      <c r="Z37" s="109"/>
      <c r="AA37" s="109"/>
      <c r="AB37" s="76"/>
      <c r="AC37" s="76"/>
      <c r="AD37" s="76"/>
      <c r="AE37" s="76"/>
      <c r="AF37" s="76"/>
      <c r="AG37" s="76"/>
      <c r="AH37" s="227" t="s">
        <v>40</v>
      </c>
      <c r="AI37" s="217">
        <f>IF(F37="",IF(G38="","",G38+AI39),F37)</f>
        <v>25</v>
      </c>
      <c r="AJ37" s="222"/>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row>
    <row r="38" spans="1:60" ht="6.6" customHeight="1" x14ac:dyDescent="0.2">
      <c r="A38" s="76"/>
      <c r="B38" s="223"/>
      <c r="C38" s="199"/>
      <c r="D38" s="76"/>
      <c r="E38" s="203"/>
      <c r="F38" s="225"/>
      <c r="G38" s="219"/>
      <c r="H38" s="109"/>
      <c r="I38" s="110"/>
      <c r="J38" s="113"/>
      <c r="K38" s="113"/>
      <c r="L38" s="113"/>
      <c r="M38" s="113"/>
      <c r="N38" s="113"/>
      <c r="O38" s="113"/>
      <c r="P38" s="113"/>
      <c r="Q38" s="110"/>
      <c r="R38" s="113"/>
      <c r="S38" s="113"/>
      <c r="T38" s="113"/>
      <c r="U38" s="113"/>
      <c r="V38" s="113"/>
      <c r="W38" s="113"/>
      <c r="X38" s="113"/>
      <c r="Y38" s="113"/>
      <c r="Z38" s="114"/>
      <c r="AA38" s="114"/>
      <c r="AB38" s="76"/>
      <c r="AC38" s="76"/>
      <c r="AD38" s="76"/>
      <c r="AE38" s="76"/>
      <c r="AF38" s="76"/>
      <c r="AG38" s="76"/>
      <c r="AH38" s="228"/>
      <c r="AI38" s="218"/>
      <c r="AJ38" s="221">
        <f>IF(F37="",IF(G38="","",G38),AI37-AI39)</f>
        <v>10</v>
      </c>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row>
    <row r="39" spans="1:60" ht="6.6" customHeight="1" x14ac:dyDescent="0.2">
      <c r="A39" s="76"/>
      <c r="B39" s="223"/>
      <c r="C39" s="224"/>
      <c r="D39" s="76"/>
      <c r="E39" s="202" t="s">
        <v>481</v>
      </c>
      <c r="F39" s="219">
        <v>15</v>
      </c>
      <c r="G39" s="220"/>
      <c r="H39" s="109"/>
      <c r="I39" s="110"/>
      <c r="J39" s="110"/>
      <c r="K39" s="110"/>
      <c r="L39" s="110"/>
      <c r="M39" s="110"/>
      <c r="N39" s="110"/>
      <c r="O39" s="110"/>
      <c r="P39" s="110"/>
      <c r="Q39" s="110"/>
      <c r="R39" s="110"/>
      <c r="S39" s="110"/>
      <c r="T39" s="110"/>
      <c r="U39" s="110"/>
      <c r="V39" s="110"/>
      <c r="W39" s="110"/>
      <c r="X39" s="110"/>
      <c r="Y39" s="110"/>
      <c r="Z39" s="109"/>
      <c r="AA39" s="109"/>
      <c r="AB39" s="76"/>
      <c r="AC39" s="76"/>
      <c r="AD39" s="76"/>
      <c r="AE39" s="76"/>
      <c r="AF39" s="76"/>
      <c r="AG39" s="76"/>
      <c r="AH39" s="227" t="s">
        <v>41</v>
      </c>
      <c r="AI39" s="217">
        <f>IF(F39="",IF(G40="","",G40+AI41),F39)</f>
        <v>15</v>
      </c>
      <c r="AJ39" s="222"/>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row>
    <row r="40" spans="1:60" ht="6.6" customHeight="1" x14ac:dyDescent="0.2">
      <c r="A40" s="76"/>
      <c r="B40" s="223"/>
      <c r="C40" s="199"/>
      <c r="D40" s="76"/>
      <c r="E40" s="203"/>
      <c r="F40" s="220"/>
      <c r="G40" s="219"/>
      <c r="H40" s="109"/>
      <c r="I40" s="110"/>
      <c r="J40" s="110"/>
      <c r="K40" s="110"/>
      <c r="L40" s="110"/>
      <c r="M40" s="110"/>
      <c r="N40" s="110"/>
      <c r="O40" s="110"/>
      <c r="P40" s="110"/>
      <c r="Q40" s="110"/>
      <c r="R40" s="110"/>
      <c r="S40" s="110"/>
      <c r="T40" s="110"/>
      <c r="U40" s="110"/>
      <c r="V40" s="110"/>
      <c r="W40" s="110"/>
      <c r="X40" s="110"/>
      <c r="Y40" s="110"/>
      <c r="Z40" s="109"/>
      <c r="AA40" s="109"/>
      <c r="AB40" s="76"/>
      <c r="AC40" s="76"/>
      <c r="AD40" s="76"/>
      <c r="AE40" s="76"/>
      <c r="AF40" s="76"/>
      <c r="AG40" s="76"/>
      <c r="AH40" s="227"/>
      <c r="AI40" s="218"/>
      <c r="AJ40" s="221">
        <f>IF(F39="",IF(G40="","",G40),AI39-AI41)</f>
        <v>10</v>
      </c>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row>
    <row r="41" spans="1:60" ht="6.6" customHeight="1" x14ac:dyDescent="0.2">
      <c r="A41" s="76"/>
      <c r="B41" s="223"/>
      <c r="C41" s="224"/>
      <c r="D41" s="76"/>
      <c r="E41" s="202" t="s">
        <v>480</v>
      </c>
      <c r="F41" s="219">
        <v>5</v>
      </c>
      <c r="G41" s="220"/>
      <c r="H41" s="109"/>
      <c r="I41" s="110"/>
      <c r="J41" s="110"/>
      <c r="K41" s="110"/>
      <c r="L41" s="110"/>
      <c r="M41" s="110"/>
      <c r="N41" s="110"/>
      <c r="O41" s="110"/>
      <c r="P41" s="110"/>
      <c r="Q41" s="110"/>
      <c r="R41" s="110"/>
      <c r="S41" s="110"/>
      <c r="T41" s="110"/>
      <c r="U41" s="110"/>
      <c r="V41" s="110"/>
      <c r="W41" s="110"/>
      <c r="X41" s="110"/>
      <c r="Y41" s="110"/>
      <c r="Z41" s="109"/>
      <c r="AA41" s="109"/>
      <c r="AB41" s="76"/>
      <c r="AC41" s="76"/>
      <c r="AD41" s="76"/>
      <c r="AE41" s="76"/>
      <c r="AF41" s="76"/>
      <c r="AG41" s="76"/>
      <c r="AH41" s="227" t="s">
        <v>42</v>
      </c>
      <c r="AI41" s="217">
        <f>IF(F41="",IF(G42="","",G42+AI43),F41)</f>
        <v>5</v>
      </c>
      <c r="AJ41" s="222"/>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row>
    <row r="42" spans="1:60" ht="6.6" customHeight="1" x14ac:dyDescent="0.2">
      <c r="A42" s="76"/>
      <c r="B42" s="223"/>
      <c r="C42" s="199"/>
      <c r="D42" s="76"/>
      <c r="E42" s="203"/>
      <c r="F42" s="220"/>
      <c r="G42" s="219"/>
      <c r="H42" s="109"/>
      <c r="I42" s="110"/>
      <c r="J42" s="110"/>
      <c r="K42" s="110"/>
      <c r="L42" s="110"/>
      <c r="M42" s="113"/>
      <c r="N42" s="110"/>
      <c r="O42" s="110"/>
      <c r="P42" s="110"/>
      <c r="Q42" s="110"/>
      <c r="R42" s="110"/>
      <c r="S42" s="110"/>
      <c r="T42" s="110"/>
      <c r="U42" s="110"/>
      <c r="V42" s="110"/>
      <c r="W42" s="110"/>
      <c r="X42" s="110"/>
      <c r="Y42" s="110"/>
      <c r="Z42" s="109"/>
      <c r="AA42" s="109"/>
      <c r="AB42" s="76"/>
      <c r="AC42" s="76"/>
      <c r="AD42" s="76"/>
      <c r="AE42" s="76"/>
      <c r="AF42" s="76"/>
      <c r="AG42" s="76"/>
      <c r="AH42" s="228"/>
      <c r="AI42" s="218"/>
      <c r="AJ42" s="221">
        <f>IF(F41="",IF(G42="","",G42),AI41-AI43)</f>
        <v>12.716149999999999</v>
      </c>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row>
    <row r="43" spans="1:60" ht="6.6" customHeight="1" x14ac:dyDescent="0.2">
      <c r="A43" s="76"/>
      <c r="B43" s="223"/>
      <c r="C43" s="224"/>
      <c r="D43" s="76"/>
      <c r="E43" s="202" t="s">
        <v>479</v>
      </c>
      <c r="F43" s="219"/>
      <c r="G43" s="220"/>
      <c r="H43" s="109"/>
      <c r="I43" s="110"/>
      <c r="J43" s="110"/>
      <c r="K43" s="110"/>
      <c r="L43" s="110"/>
      <c r="M43" s="113"/>
      <c r="N43" s="110"/>
      <c r="O43" s="110"/>
      <c r="P43" s="110"/>
      <c r="Q43" s="110"/>
      <c r="R43" s="110"/>
      <c r="S43" s="110"/>
      <c r="T43" s="110"/>
      <c r="U43" s="110"/>
      <c r="V43" s="110"/>
      <c r="W43" s="110"/>
      <c r="X43" s="110"/>
      <c r="Y43" s="110"/>
      <c r="Z43" s="109"/>
      <c r="AA43" s="109"/>
      <c r="AB43" s="76"/>
      <c r="AC43" s="76"/>
      <c r="AD43" s="76"/>
      <c r="AE43" s="76"/>
      <c r="AF43" s="76"/>
      <c r="AG43" s="76"/>
      <c r="AH43" s="227" t="s">
        <v>43</v>
      </c>
      <c r="AI43" s="217">
        <f>IF(F43="",IF(G44="","",G44+AI45),F43)</f>
        <v>-7.716149999999999</v>
      </c>
      <c r="AJ43" s="222"/>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row>
    <row r="44" spans="1:60" ht="6.6" customHeight="1" x14ac:dyDescent="0.2">
      <c r="A44" s="76"/>
      <c r="B44" s="223"/>
      <c r="C44" s="199"/>
      <c r="D44" s="76"/>
      <c r="E44" s="203"/>
      <c r="F44" s="220"/>
      <c r="G44" s="219">
        <v>8.8573500000000003</v>
      </c>
      <c r="H44" s="109"/>
      <c r="I44" s="110"/>
      <c r="J44" s="110"/>
      <c r="K44" s="110"/>
      <c r="L44" s="110"/>
      <c r="M44" s="113"/>
      <c r="N44" s="110"/>
      <c r="O44" s="110"/>
      <c r="P44" s="110"/>
      <c r="Q44" s="110"/>
      <c r="R44" s="110"/>
      <c r="S44" s="110"/>
      <c r="T44" s="110"/>
      <c r="U44" s="110"/>
      <c r="V44" s="110"/>
      <c r="W44" s="110"/>
      <c r="X44" s="110"/>
      <c r="Y44" s="110"/>
      <c r="Z44" s="109"/>
      <c r="AA44" s="109"/>
      <c r="AB44" s="76"/>
      <c r="AC44" s="76"/>
      <c r="AD44" s="76"/>
      <c r="AE44" s="76"/>
      <c r="AF44" s="76"/>
      <c r="AG44" s="76"/>
      <c r="AH44" s="227"/>
      <c r="AI44" s="218"/>
      <c r="AJ44" s="221">
        <f>IF(F43="",IF(G44="","",G44),AI43-AI45)</f>
        <v>8.8573500000000003</v>
      </c>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row>
    <row r="45" spans="1:60" ht="6.6" customHeight="1" x14ac:dyDescent="0.2">
      <c r="A45" s="76"/>
      <c r="B45" s="223"/>
      <c r="C45" s="224"/>
      <c r="D45" s="76"/>
      <c r="E45" s="202" t="s">
        <v>478</v>
      </c>
      <c r="F45" s="219"/>
      <c r="G45" s="220"/>
      <c r="H45" s="109"/>
      <c r="I45" s="110"/>
      <c r="J45" s="110"/>
      <c r="K45" s="110"/>
      <c r="L45" s="110"/>
      <c r="M45" s="110"/>
      <c r="N45" s="110"/>
      <c r="O45" s="110"/>
      <c r="P45" s="110"/>
      <c r="Q45" s="110"/>
      <c r="R45" s="110"/>
      <c r="S45" s="110"/>
      <c r="T45" s="110"/>
      <c r="U45" s="110"/>
      <c r="V45" s="110"/>
      <c r="W45" s="110"/>
      <c r="X45" s="110"/>
      <c r="Y45" s="110"/>
      <c r="Z45" s="109"/>
      <c r="AA45" s="109"/>
      <c r="AB45" s="76"/>
      <c r="AC45" s="76"/>
      <c r="AD45" s="76"/>
      <c r="AE45" s="76"/>
      <c r="AF45" s="76"/>
      <c r="AG45" s="76"/>
      <c r="AH45" s="227" t="s">
        <v>44</v>
      </c>
      <c r="AI45" s="217">
        <f>IF(F45="",IF(G46="","",G46+AI47),F45)</f>
        <v>-16.573499999999999</v>
      </c>
      <c r="AJ45" s="222"/>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row>
    <row r="46" spans="1:60" ht="6.6" customHeight="1" x14ac:dyDescent="0.2">
      <c r="A46" s="76"/>
      <c r="B46" s="223"/>
      <c r="C46" s="199"/>
      <c r="D46" s="76"/>
      <c r="E46" s="203"/>
      <c r="F46" s="220"/>
      <c r="G46" s="219">
        <v>9.8414999999999999</v>
      </c>
      <c r="H46" s="109"/>
      <c r="I46" s="110"/>
      <c r="J46" s="110"/>
      <c r="K46" s="110"/>
      <c r="L46" s="110"/>
      <c r="M46" s="110"/>
      <c r="N46" s="110"/>
      <c r="O46" s="110"/>
      <c r="P46" s="110"/>
      <c r="Q46" s="110"/>
      <c r="R46" s="110"/>
      <c r="S46" s="110"/>
      <c r="T46" s="110"/>
      <c r="U46" s="110"/>
      <c r="V46" s="110"/>
      <c r="W46" s="110"/>
      <c r="X46" s="110"/>
      <c r="Y46" s="110"/>
      <c r="Z46" s="109"/>
      <c r="AA46" s="109"/>
      <c r="AB46" s="76"/>
      <c r="AC46" s="76"/>
      <c r="AD46" s="76"/>
      <c r="AE46" s="76"/>
      <c r="AF46" s="76"/>
      <c r="AG46" s="76"/>
      <c r="AH46" s="228"/>
      <c r="AI46" s="218"/>
      <c r="AJ46" s="221">
        <f>IF(F45="",IF(G46="","",G46),AI45-AI47)</f>
        <v>9.8414999999999999</v>
      </c>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row>
    <row r="47" spans="1:60" ht="6.6" customHeight="1" x14ac:dyDescent="0.2">
      <c r="A47" s="76"/>
      <c r="B47" s="223"/>
      <c r="C47" s="224"/>
      <c r="D47" s="76"/>
      <c r="E47" s="202" t="s">
        <v>477</v>
      </c>
      <c r="F47" s="219"/>
      <c r="G47" s="220"/>
      <c r="H47" s="109"/>
      <c r="I47" s="110"/>
      <c r="J47" s="110"/>
      <c r="K47" s="110"/>
      <c r="L47" s="110"/>
      <c r="M47" s="110"/>
      <c r="N47" s="110"/>
      <c r="O47" s="110"/>
      <c r="P47" s="110"/>
      <c r="Q47" s="110"/>
      <c r="R47" s="110"/>
      <c r="S47" s="110"/>
      <c r="T47" s="110"/>
      <c r="U47" s="110"/>
      <c r="V47" s="110"/>
      <c r="W47" s="110"/>
      <c r="X47" s="110"/>
      <c r="Y47" s="110"/>
      <c r="Z47" s="109"/>
      <c r="AA47" s="109"/>
      <c r="AB47" s="76"/>
      <c r="AC47" s="76"/>
      <c r="AD47" s="76"/>
      <c r="AE47" s="76"/>
      <c r="AF47" s="76"/>
      <c r="AG47" s="76"/>
      <c r="AH47" s="227" t="s">
        <v>45</v>
      </c>
      <c r="AI47" s="217">
        <f>IF(F47="",IF(G48="","",G48+AI49),F47)</f>
        <v>-26.414999999999999</v>
      </c>
      <c r="AJ47" s="222"/>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row>
    <row r="48" spans="1:60" ht="6.6" customHeight="1" x14ac:dyDescent="0.2">
      <c r="A48" s="76"/>
      <c r="B48" s="223"/>
      <c r="C48" s="199"/>
      <c r="D48" s="76"/>
      <c r="E48" s="203"/>
      <c r="F48" s="220"/>
      <c r="G48" s="219">
        <v>10.935</v>
      </c>
      <c r="H48" s="109"/>
      <c r="I48" s="110"/>
      <c r="J48" s="110"/>
      <c r="K48" s="110"/>
      <c r="L48" s="110"/>
      <c r="M48" s="110"/>
      <c r="N48" s="110"/>
      <c r="O48" s="110"/>
      <c r="P48" s="110"/>
      <c r="Q48" s="110"/>
      <c r="R48" s="110"/>
      <c r="S48" s="110"/>
      <c r="T48" s="110"/>
      <c r="U48" s="110"/>
      <c r="V48" s="110"/>
      <c r="W48" s="110"/>
      <c r="X48" s="110"/>
      <c r="Y48" s="110"/>
      <c r="Z48" s="109"/>
      <c r="AA48" s="109"/>
      <c r="AB48" s="76"/>
      <c r="AC48" s="76"/>
      <c r="AD48" s="76"/>
      <c r="AE48" s="76"/>
      <c r="AF48" s="76"/>
      <c r="AG48" s="76"/>
      <c r="AH48" s="227"/>
      <c r="AI48" s="218"/>
      <c r="AJ48" s="221">
        <f>IF(F47="",IF(G48="","",G48),AI47-AI49)</f>
        <v>10.935</v>
      </c>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row>
    <row r="49" spans="1:60" ht="6.6" customHeight="1" x14ac:dyDescent="0.2">
      <c r="A49" s="76"/>
      <c r="B49" s="223"/>
      <c r="C49" s="224"/>
      <c r="D49" s="76"/>
      <c r="E49" s="202" t="s">
        <v>476</v>
      </c>
      <c r="F49" s="225"/>
      <c r="G49" s="220"/>
      <c r="H49" s="109"/>
      <c r="I49" s="110"/>
      <c r="J49" s="110"/>
      <c r="K49" s="110"/>
      <c r="L49" s="110"/>
      <c r="M49" s="110"/>
      <c r="N49" s="110"/>
      <c r="O49" s="110"/>
      <c r="P49" s="110"/>
      <c r="Q49" s="110"/>
      <c r="R49" s="110"/>
      <c r="S49" s="110"/>
      <c r="T49" s="110"/>
      <c r="U49" s="110"/>
      <c r="V49" s="110"/>
      <c r="W49" s="110"/>
      <c r="X49" s="110"/>
      <c r="Y49" s="110"/>
      <c r="Z49" s="109"/>
      <c r="AA49" s="109"/>
      <c r="AB49" s="76"/>
      <c r="AC49" s="76"/>
      <c r="AD49" s="76"/>
      <c r="AE49" s="76"/>
      <c r="AF49" s="76"/>
      <c r="AG49" s="76"/>
      <c r="AH49" s="227" t="s">
        <v>46</v>
      </c>
      <c r="AI49" s="217">
        <f>IF(F49="",IF(G50="","",G50+AI51),F49)</f>
        <v>-37.35</v>
      </c>
      <c r="AJ49" s="222"/>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row>
    <row r="50" spans="1:60" ht="6.6" customHeight="1" x14ac:dyDescent="0.2">
      <c r="A50" s="76"/>
      <c r="B50" s="223"/>
      <c r="C50" s="199"/>
      <c r="D50" s="76"/>
      <c r="E50" s="203"/>
      <c r="F50" s="225"/>
      <c r="G50" s="219">
        <v>12.15</v>
      </c>
      <c r="H50" s="109"/>
      <c r="I50" s="110"/>
      <c r="J50" s="110"/>
      <c r="K50" s="110"/>
      <c r="L50" s="110"/>
      <c r="M50" s="110"/>
      <c r="N50" s="110"/>
      <c r="O50" s="110"/>
      <c r="P50" s="110"/>
      <c r="Q50" s="110"/>
      <c r="R50" s="110"/>
      <c r="S50" s="110"/>
      <c r="T50" s="110"/>
      <c r="U50" s="110"/>
      <c r="V50" s="110"/>
      <c r="W50" s="110"/>
      <c r="X50" s="110"/>
      <c r="Y50" s="110"/>
      <c r="Z50" s="109"/>
      <c r="AA50" s="109"/>
      <c r="AB50" s="76"/>
      <c r="AC50" s="76"/>
      <c r="AD50" s="76"/>
      <c r="AE50" s="76"/>
      <c r="AF50" s="76"/>
      <c r="AG50" s="76"/>
      <c r="AH50" s="228"/>
      <c r="AI50" s="218"/>
      <c r="AJ50" s="221">
        <f>IF(F49="",IF(G50="","",G50),AI49-AI51)</f>
        <v>12.15</v>
      </c>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row>
    <row r="51" spans="1:60" ht="6.6" customHeight="1" x14ac:dyDescent="0.2">
      <c r="A51" s="76"/>
      <c r="B51" s="223"/>
      <c r="C51" s="224"/>
      <c r="D51" s="76"/>
      <c r="E51" s="202" t="s">
        <v>475</v>
      </c>
      <c r="F51" s="225"/>
      <c r="G51" s="220"/>
      <c r="H51" s="109"/>
      <c r="I51" s="110"/>
      <c r="J51" s="110"/>
      <c r="K51" s="110"/>
      <c r="L51" s="110"/>
      <c r="M51" s="110"/>
      <c r="N51" s="110"/>
      <c r="O51" s="110"/>
      <c r="P51" s="110"/>
      <c r="Q51" s="110"/>
      <c r="R51" s="110"/>
      <c r="S51" s="110"/>
      <c r="T51" s="110"/>
      <c r="U51" s="110"/>
      <c r="V51" s="110"/>
      <c r="W51" s="110"/>
      <c r="X51" s="110"/>
      <c r="Y51" s="110"/>
      <c r="Z51" s="109"/>
      <c r="AA51" s="109"/>
      <c r="AB51" s="76"/>
      <c r="AC51" s="76"/>
      <c r="AD51" s="76"/>
      <c r="AE51" s="76"/>
      <c r="AF51" s="76"/>
      <c r="AG51" s="76"/>
      <c r="AH51" s="227" t="s">
        <v>26</v>
      </c>
      <c r="AI51" s="217">
        <f>IF(F51="",IF(G52="","",G52+AI53),F51)</f>
        <v>-49.5</v>
      </c>
      <c r="AJ51" s="222"/>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row>
    <row r="52" spans="1:60" ht="6.6" customHeight="1" x14ac:dyDescent="0.2">
      <c r="A52" s="76"/>
      <c r="B52" s="223"/>
      <c r="C52" s="199"/>
      <c r="D52" s="76"/>
      <c r="E52" s="203"/>
      <c r="F52" s="225"/>
      <c r="G52" s="219">
        <v>13.5</v>
      </c>
      <c r="H52" s="109"/>
      <c r="I52" s="110"/>
      <c r="J52" s="110"/>
      <c r="K52" s="110"/>
      <c r="L52" s="110"/>
      <c r="M52" s="110"/>
      <c r="N52" s="110"/>
      <c r="O52" s="110"/>
      <c r="P52" s="110"/>
      <c r="Q52" s="110"/>
      <c r="R52" s="110"/>
      <c r="S52" s="110"/>
      <c r="T52" s="110"/>
      <c r="U52" s="110"/>
      <c r="V52" s="110"/>
      <c r="W52" s="110"/>
      <c r="X52" s="110"/>
      <c r="Y52" s="110"/>
      <c r="Z52" s="109"/>
      <c r="AA52" s="109"/>
      <c r="AB52" s="76"/>
      <c r="AC52" s="76"/>
      <c r="AD52" s="76"/>
      <c r="AE52" s="76"/>
      <c r="AF52" s="76"/>
      <c r="AG52" s="76"/>
      <c r="AH52" s="227"/>
      <c r="AI52" s="218"/>
      <c r="AJ52" s="221">
        <f>IF(F51="",IF(G52="","",G52),AI51-AI53)</f>
        <v>13.5</v>
      </c>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row>
    <row r="53" spans="1:60" ht="6.6" customHeight="1" x14ac:dyDescent="0.2">
      <c r="A53" s="76"/>
      <c r="B53" s="223"/>
      <c r="C53" s="224"/>
      <c r="D53" s="76"/>
      <c r="E53" s="202" t="s">
        <v>474</v>
      </c>
      <c r="F53" s="225"/>
      <c r="G53" s="220"/>
      <c r="H53" s="109"/>
      <c r="I53" s="110"/>
      <c r="J53" s="110"/>
      <c r="K53" s="110"/>
      <c r="L53" s="110"/>
      <c r="M53" s="110"/>
      <c r="N53" s="110"/>
      <c r="O53" s="110"/>
      <c r="P53" s="110"/>
      <c r="Q53" s="110"/>
      <c r="R53" s="110"/>
      <c r="S53" s="110"/>
      <c r="T53" s="110"/>
      <c r="U53" s="110"/>
      <c r="V53" s="110"/>
      <c r="W53" s="110"/>
      <c r="X53" s="110"/>
      <c r="Y53" s="110"/>
      <c r="Z53" s="109"/>
      <c r="AA53" s="109"/>
      <c r="AB53" s="76"/>
      <c r="AC53" s="76"/>
      <c r="AD53" s="76"/>
      <c r="AE53" s="76"/>
      <c r="AF53" s="76"/>
      <c r="AG53" s="76"/>
      <c r="AH53" s="227" t="s">
        <v>25</v>
      </c>
      <c r="AI53" s="217">
        <f>IF(F53="",IF(G54="","",G54+AI55),F53)</f>
        <v>-63</v>
      </c>
      <c r="AJ53" s="222"/>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row>
    <row r="54" spans="1:60" ht="6.6" customHeight="1" x14ac:dyDescent="0.2">
      <c r="A54" s="76"/>
      <c r="B54" s="223"/>
      <c r="C54" s="199"/>
      <c r="D54" s="76"/>
      <c r="E54" s="203"/>
      <c r="F54" s="226"/>
      <c r="G54" s="219">
        <v>15</v>
      </c>
      <c r="H54" s="109"/>
      <c r="I54" s="110"/>
      <c r="J54" s="110"/>
      <c r="K54" s="110"/>
      <c r="L54" s="110"/>
      <c r="M54" s="110"/>
      <c r="N54" s="110"/>
      <c r="O54" s="110"/>
      <c r="P54" s="110"/>
      <c r="Q54" s="110"/>
      <c r="R54" s="110"/>
      <c r="S54" s="110"/>
      <c r="T54" s="110"/>
      <c r="U54" s="110"/>
      <c r="V54" s="110"/>
      <c r="W54" s="110"/>
      <c r="X54" s="110"/>
      <c r="Y54" s="110"/>
      <c r="Z54" s="109"/>
      <c r="AA54" s="109"/>
      <c r="AB54" s="76"/>
      <c r="AC54" s="76"/>
      <c r="AD54" s="76"/>
      <c r="AE54" s="76"/>
      <c r="AF54" s="76"/>
      <c r="AG54" s="76"/>
      <c r="AH54" s="228"/>
      <c r="AI54" s="218"/>
      <c r="AJ54" s="221">
        <f>IF(F53="",IF(G54="","",G54),AI53-AI55)</f>
        <v>15</v>
      </c>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row>
    <row r="55" spans="1:60" ht="6.6" customHeight="1" x14ac:dyDescent="0.2">
      <c r="A55" s="76"/>
      <c r="B55" s="223"/>
      <c r="C55" s="224"/>
      <c r="D55" s="76"/>
      <c r="E55" s="202" t="s">
        <v>473</v>
      </c>
      <c r="F55" s="225"/>
      <c r="G55" s="220"/>
      <c r="H55" s="109"/>
      <c r="I55" s="110"/>
      <c r="J55" s="110"/>
      <c r="K55" s="110"/>
      <c r="L55" s="110"/>
      <c r="M55" s="110"/>
      <c r="N55" s="110"/>
      <c r="O55" s="110"/>
      <c r="P55" s="110"/>
      <c r="Q55" s="110"/>
      <c r="R55" s="110"/>
      <c r="S55" s="110"/>
      <c r="T55" s="110"/>
      <c r="U55" s="110"/>
      <c r="V55" s="110"/>
      <c r="W55" s="110"/>
      <c r="X55" s="110"/>
      <c r="Y55" s="110"/>
      <c r="Z55" s="109"/>
      <c r="AA55" s="109"/>
      <c r="AB55" s="76"/>
      <c r="AC55" s="76"/>
      <c r="AD55" s="76"/>
      <c r="AE55" s="76"/>
      <c r="AF55" s="76"/>
      <c r="AG55" s="76"/>
      <c r="AH55" s="227" t="s">
        <v>148</v>
      </c>
      <c r="AI55" s="217">
        <f>IF(F55="",IF(G56="","",G56+AI57),F55)</f>
        <v>-78</v>
      </c>
      <c r="AJ55" s="222"/>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row>
    <row r="56" spans="1:60" ht="6.6" customHeight="1" x14ac:dyDescent="0.2">
      <c r="A56" s="76"/>
      <c r="B56" s="223"/>
      <c r="C56" s="199"/>
      <c r="D56" s="76"/>
      <c r="E56" s="203"/>
      <c r="F56" s="225"/>
      <c r="G56" s="225">
        <v>5</v>
      </c>
      <c r="H56" s="109"/>
      <c r="I56" s="110"/>
      <c r="J56" s="110"/>
      <c r="K56" s="110"/>
      <c r="L56" s="110"/>
      <c r="M56" s="110"/>
      <c r="N56" s="110"/>
      <c r="O56" s="110"/>
      <c r="P56" s="110"/>
      <c r="Q56" s="110"/>
      <c r="R56" s="110"/>
      <c r="S56" s="110"/>
      <c r="T56" s="110"/>
      <c r="U56" s="110"/>
      <c r="V56" s="110"/>
      <c r="W56" s="110"/>
      <c r="X56" s="110"/>
      <c r="Y56" s="110"/>
      <c r="Z56" s="109"/>
      <c r="AA56" s="109"/>
      <c r="AB56" s="76"/>
      <c r="AC56" s="76"/>
      <c r="AD56" s="76"/>
      <c r="AE56" s="76"/>
      <c r="AF56" s="76"/>
      <c r="AG56" s="76"/>
      <c r="AH56" s="227"/>
      <c r="AI56" s="218"/>
      <c r="AJ56" s="221">
        <f>IF(F55="",IF(G56="","",G56),AI55-AI57)</f>
        <v>5</v>
      </c>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row>
    <row r="57" spans="1:60" ht="6.6" customHeight="1" x14ac:dyDescent="0.2">
      <c r="A57" s="76"/>
      <c r="B57" s="223"/>
      <c r="C57" s="224"/>
      <c r="D57" s="76"/>
      <c r="E57" s="241" t="s">
        <v>472</v>
      </c>
      <c r="F57" s="225">
        <v>-83</v>
      </c>
      <c r="G57" s="199"/>
      <c r="H57" s="109"/>
      <c r="I57" s="110"/>
      <c r="J57" s="110"/>
      <c r="K57" s="110"/>
      <c r="L57" s="110"/>
      <c r="M57" s="110"/>
      <c r="N57" s="110"/>
      <c r="O57" s="110"/>
      <c r="P57" s="110"/>
      <c r="Q57" s="110"/>
      <c r="R57" s="110"/>
      <c r="S57" s="110"/>
      <c r="T57" s="110"/>
      <c r="U57" s="110"/>
      <c r="V57" s="110"/>
      <c r="W57" s="110"/>
      <c r="X57" s="110"/>
      <c r="Y57" s="110"/>
      <c r="Z57" s="109"/>
      <c r="AA57" s="109"/>
      <c r="AB57" s="76"/>
      <c r="AC57" s="76"/>
      <c r="AD57" s="76"/>
      <c r="AE57" s="76"/>
      <c r="AF57" s="76"/>
      <c r="AG57" s="76"/>
      <c r="AH57" s="227" t="s">
        <v>403</v>
      </c>
      <c r="AI57" s="217">
        <f>IF(F57="",AI55-AJ56,F57)</f>
        <v>-83</v>
      </c>
      <c r="AJ57" s="222"/>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row>
    <row r="58" spans="1:60" ht="6.6" customHeight="1" x14ac:dyDescent="0.25">
      <c r="A58" s="76"/>
      <c r="B58" s="223"/>
      <c r="C58" s="199"/>
      <c r="D58" s="76"/>
      <c r="E58" s="242"/>
      <c r="F58" s="225"/>
      <c r="G58" s="82"/>
      <c r="H58" s="109"/>
      <c r="I58" s="110"/>
      <c r="J58" s="110"/>
      <c r="K58" s="110"/>
      <c r="L58" s="110"/>
      <c r="M58" s="110"/>
      <c r="N58" s="110"/>
      <c r="O58" s="110"/>
      <c r="P58" s="110"/>
      <c r="Q58" s="110"/>
      <c r="R58" s="110"/>
      <c r="S58" s="110"/>
      <c r="T58" s="110"/>
      <c r="U58" s="110"/>
      <c r="V58" s="110"/>
      <c r="W58" s="110"/>
      <c r="X58" s="110"/>
      <c r="Y58" s="110"/>
      <c r="Z58" s="109"/>
      <c r="AA58" s="109"/>
      <c r="AB58" s="76"/>
      <c r="AC58" s="76"/>
      <c r="AD58" s="76"/>
      <c r="AE58" s="76"/>
      <c r="AF58" s="76"/>
      <c r="AG58" s="76"/>
      <c r="AH58" s="227"/>
      <c r="AI58" s="243"/>
      <c r="AJ58" s="115"/>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row>
    <row r="59" spans="1:60" x14ac:dyDescent="0.2">
      <c r="A59" s="76"/>
      <c r="B59" s="76"/>
      <c r="C59" s="76"/>
      <c r="D59" s="76"/>
      <c r="E59" s="76"/>
      <c r="F59" s="76"/>
      <c r="G59" s="93" t="s">
        <v>402</v>
      </c>
      <c r="H59" s="179" t="s">
        <v>408</v>
      </c>
      <c r="I59" s="197"/>
      <c r="J59" s="179" t="s">
        <v>405</v>
      </c>
      <c r="K59" s="197"/>
      <c r="L59" s="179" t="s">
        <v>406</v>
      </c>
      <c r="M59" s="197"/>
      <c r="N59" s="179" t="s">
        <v>409</v>
      </c>
      <c r="O59" s="197"/>
      <c r="P59" s="179">
        <v>5</v>
      </c>
      <c r="Q59" s="197"/>
      <c r="R59" s="179">
        <v>6</v>
      </c>
      <c r="S59" s="197"/>
      <c r="T59" s="179" t="str">
        <f>IF(AW60="",T11,CONCATENATE(T11," (",FIXED(AW60,2),")"))</f>
        <v>X7</v>
      </c>
      <c r="U59" s="197"/>
      <c r="V59" s="179" t="str">
        <f>IF(AY60="",V11,CONCATENATE(V11," (",FIXED(AY60,2),")"))</f>
        <v>X8</v>
      </c>
      <c r="W59" s="197"/>
      <c r="X59" s="179" t="str">
        <f>IF(BA60="",X11,CONCATENATE(X11," (",FIXED(BA60,2),")"))</f>
        <v>X9</v>
      </c>
      <c r="Y59" s="197"/>
      <c r="Z59" s="179" t="str">
        <f>IF(BC60="",Z11,CONCATENATE(Z11," (",FIXED(BC60,2),")"))</f>
        <v>X10</v>
      </c>
      <c r="AA59" s="197"/>
      <c r="AB59" s="76"/>
      <c r="AC59" s="76"/>
      <c r="AD59" s="116"/>
      <c r="AE59" s="76"/>
      <c r="AF59" s="76"/>
      <c r="AG59" s="76"/>
      <c r="AH59" s="76"/>
      <c r="AI59" s="76"/>
      <c r="AJ59" s="95" t="s">
        <v>152</v>
      </c>
      <c r="AK59" s="215" t="s">
        <v>16</v>
      </c>
      <c r="AL59" s="216"/>
      <c r="AM59" s="215" t="s">
        <v>17</v>
      </c>
      <c r="AN59" s="216"/>
      <c r="AO59" s="215" t="s">
        <v>18</v>
      </c>
      <c r="AP59" s="216"/>
      <c r="AQ59" s="215" t="s">
        <v>19</v>
      </c>
      <c r="AR59" s="216"/>
      <c r="AS59" s="215" t="s">
        <v>20</v>
      </c>
      <c r="AT59" s="216"/>
      <c r="AU59" s="215" t="s">
        <v>21</v>
      </c>
      <c r="AV59" s="216"/>
      <c r="AW59" s="215" t="s">
        <v>22</v>
      </c>
      <c r="AX59" s="216"/>
      <c r="AY59" s="215" t="s">
        <v>23</v>
      </c>
      <c r="AZ59" s="216"/>
      <c r="BA59" s="215" t="s">
        <v>24</v>
      </c>
      <c r="BB59" s="216"/>
      <c r="BC59" s="215" t="s">
        <v>150</v>
      </c>
      <c r="BD59" s="216"/>
      <c r="BE59" s="76"/>
      <c r="BF59" s="76"/>
      <c r="BG59" s="76"/>
      <c r="BH59" s="76"/>
    </row>
    <row r="60" spans="1:60" x14ac:dyDescent="0.2">
      <c r="A60" s="76"/>
      <c r="B60" s="75"/>
      <c r="C60" s="76"/>
      <c r="D60" s="76"/>
      <c r="E60" s="76"/>
      <c r="F60" s="76"/>
      <c r="G60" s="97" t="s">
        <v>151</v>
      </c>
      <c r="H60" s="195">
        <v>0</v>
      </c>
      <c r="I60" s="196"/>
      <c r="J60" s="195"/>
      <c r="K60" s="196"/>
      <c r="L60" s="195"/>
      <c r="M60" s="196"/>
      <c r="N60" s="195"/>
      <c r="O60" s="196"/>
      <c r="P60" s="195"/>
      <c r="Q60" s="196"/>
      <c r="R60" s="195"/>
      <c r="S60" s="196"/>
      <c r="T60" s="195"/>
      <c r="U60" s="196"/>
      <c r="V60" s="195"/>
      <c r="W60" s="196"/>
      <c r="X60" s="195"/>
      <c r="Y60" s="196"/>
      <c r="Z60" s="195"/>
      <c r="AA60" s="196"/>
      <c r="AB60" s="76"/>
      <c r="AC60" s="76"/>
      <c r="AD60" s="116"/>
      <c r="AE60" s="76"/>
      <c r="AF60" s="76"/>
      <c r="AG60" s="76"/>
      <c r="AH60" s="76"/>
      <c r="AI60" s="76"/>
      <c r="AJ60" s="98" t="s">
        <v>151</v>
      </c>
      <c r="AK60" s="208">
        <f>H60</f>
        <v>0</v>
      </c>
      <c r="AL60" s="209"/>
      <c r="AM60" s="208">
        <f>IF(J60="",IF(I61="","",AK60+I61),J60)</f>
        <v>15</v>
      </c>
      <c r="AN60" s="236"/>
      <c r="AO60" s="208">
        <f>IF(L60="",IF(K61="","",AM60+K61),L60)</f>
        <v>25</v>
      </c>
      <c r="AP60" s="236"/>
      <c r="AQ60" s="208">
        <f>IF(N60="",IF(M61="","",AO60+M61),N60)</f>
        <v>40</v>
      </c>
      <c r="AR60" s="236"/>
      <c r="AS60" s="208" t="str">
        <f>IF(P60="",IF(O61="","",AQ60+O61),P60)</f>
        <v/>
      </c>
      <c r="AT60" s="236"/>
      <c r="AU60" s="208" t="str">
        <f>IF(R60="",IF(Q61="","",AS60+Q61),R60)</f>
        <v/>
      </c>
      <c r="AV60" s="236"/>
      <c r="AW60" s="208" t="str">
        <f>IF(T60="",IF(S61="","",AU60+S61),T60)</f>
        <v/>
      </c>
      <c r="AX60" s="236"/>
      <c r="AY60" s="208" t="str">
        <f>IF(V60="",IF(U61="","",AW60+U61),V60)</f>
        <v/>
      </c>
      <c r="AZ60" s="236"/>
      <c r="BA60" s="208" t="str">
        <f>IF(X60="",IF(W61="","",AY60+W61),X60)</f>
        <v/>
      </c>
      <c r="BB60" s="236"/>
      <c r="BC60" s="208" t="str">
        <f>IF(Z60="",IF(Y61="","",BA60+Y61),Z60)</f>
        <v/>
      </c>
      <c r="BD60" s="236"/>
      <c r="BE60" s="76"/>
      <c r="BF60" s="76"/>
      <c r="BG60" s="76"/>
      <c r="BH60" s="76"/>
    </row>
    <row r="61" spans="1:60" x14ac:dyDescent="0.2">
      <c r="A61" s="76"/>
      <c r="B61" s="76"/>
      <c r="C61" s="76"/>
      <c r="D61" s="76"/>
      <c r="E61" s="76"/>
      <c r="F61" s="76"/>
      <c r="G61" s="117" t="s">
        <v>149</v>
      </c>
      <c r="H61" s="118"/>
      <c r="I61" s="195">
        <v>15</v>
      </c>
      <c r="J61" s="196"/>
      <c r="K61" s="195">
        <v>10</v>
      </c>
      <c r="L61" s="196"/>
      <c r="M61" s="195">
        <v>15</v>
      </c>
      <c r="N61" s="196"/>
      <c r="O61" s="195"/>
      <c r="P61" s="196"/>
      <c r="Q61" s="195"/>
      <c r="R61" s="196"/>
      <c r="S61" s="80"/>
      <c r="T61" s="80"/>
      <c r="U61" s="195"/>
      <c r="V61" s="196"/>
      <c r="W61" s="195"/>
      <c r="X61" s="196"/>
      <c r="Y61" s="195"/>
      <c r="Z61" s="196"/>
      <c r="AA61" s="103"/>
      <c r="AB61" s="76"/>
      <c r="AC61" s="76"/>
      <c r="AD61" s="116"/>
      <c r="AE61" s="76"/>
      <c r="AF61" s="76"/>
      <c r="AG61" s="76"/>
      <c r="AH61" s="76"/>
      <c r="AI61" s="76"/>
      <c r="AJ61" s="104" t="s">
        <v>149</v>
      </c>
      <c r="AK61" s="93"/>
      <c r="AL61" s="208">
        <f>IF(J60="",IF(I61="","",I61),AM60-AK60)</f>
        <v>15</v>
      </c>
      <c r="AM61" s="209"/>
      <c r="AN61" s="208">
        <f>IF(L60="",IF(K61="","",K61),AO60-AM60)</f>
        <v>10</v>
      </c>
      <c r="AO61" s="209"/>
      <c r="AP61" s="208">
        <f>IF(N60="",IF(M61="","",M61),AQ60-AO60)</f>
        <v>15</v>
      </c>
      <c r="AQ61" s="209"/>
      <c r="AR61" s="208" t="str">
        <f>IF(P60="",IF(O61="","",O61),AS60-AQ60)</f>
        <v/>
      </c>
      <c r="AS61" s="209"/>
      <c r="AT61" s="208" t="str">
        <f>IF(R60="",IF(Q61="","",Q61),AU60-AS60)</f>
        <v/>
      </c>
      <c r="AU61" s="209"/>
      <c r="AV61" s="208" t="str">
        <f>IF(T60="",IF(S61="","",S61),AW60-AU60)</f>
        <v/>
      </c>
      <c r="AW61" s="209"/>
      <c r="AX61" s="208" t="str">
        <f>IF(V60="",IF(U61="","",U61),AY60-AW60)</f>
        <v/>
      </c>
      <c r="AY61" s="209"/>
      <c r="AZ61" s="208" t="str">
        <f>IF(X60="",IF(W61="","",W61),BA60-AY60)</f>
        <v/>
      </c>
      <c r="BA61" s="209"/>
      <c r="BB61" s="208" t="str">
        <f>IF(Z60="",IF(Y61="","",Y61),BC60-BA60)</f>
        <v/>
      </c>
      <c r="BC61" s="209"/>
      <c r="BD61" s="103"/>
      <c r="BE61" s="76"/>
      <c r="BF61" s="76"/>
      <c r="BG61" s="76"/>
      <c r="BH61" s="76"/>
    </row>
    <row r="62" spans="1:60" x14ac:dyDescent="0.2">
      <c r="A62" s="76"/>
      <c r="B62" s="75"/>
      <c r="C62" s="76"/>
      <c r="D62" s="76"/>
      <c r="E62" s="83"/>
      <c r="F62" s="119"/>
      <c r="G62" s="83"/>
      <c r="H62" s="83"/>
      <c r="I62" s="83"/>
      <c r="J62" s="83"/>
      <c r="K62" s="83"/>
      <c r="L62" s="83"/>
      <c r="M62" s="83"/>
      <c r="N62" s="83"/>
      <c r="O62" s="83"/>
      <c r="P62" s="83"/>
      <c r="Q62" s="83"/>
      <c r="R62" s="83"/>
      <c r="S62" s="83"/>
      <c r="T62" s="83"/>
      <c r="U62" s="83"/>
      <c r="V62" s="83"/>
      <c r="W62" s="83"/>
      <c r="X62" s="83"/>
      <c r="Y62" s="83"/>
      <c r="Z62" s="83"/>
      <c r="AA62" s="83"/>
      <c r="AB62" s="83"/>
      <c r="AC62" s="83"/>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row>
    <row r="63" spans="1:60" x14ac:dyDescent="0.2">
      <c r="A63" s="76"/>
      <c r="B63" s="76"/>
      <c r="C63" s="76"/>
      <c r="D63" s="76"/>
      <c r="E63" s="83"/>
      <c r="F63" s="119"/>
      <c r="G63" s="83"/>
      <c r="H63" s="83"/>
      <c r="I63" s="83"/>
      <c r="J63" s="83"/>
      <c r="K63" s="83"/>
      <c r="L63" s="83"/>
      <c r="M63" s="83"/>
      <c r="N63" s="83"/>
      <c r="O63" s="83"/>
      <c r="P63" s="83"/>
      <c r="Q63" s="83"/>
      <c r="R63" s="83"/>
      <c r="S63" s="83"/>
      <c r="T63" s="83"/>
      <c r="U63" s="83"/>
      <c r="V63" s="83"/>
      <c r="W63" s="83"/>
      <c r="X63" s="83"/>
      <c r="Y63" s="83"/>
      <c r="Z63" s="83"/>
      <c r="AA63" s="83"/>
      <c r="AB63" s="83"/>
      <c r="AC63" s="83"/>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row>
    <row r="64" spans="1:60" x14ac:dyDescent="0.2">
      <c r="A64" s="76"/>
      <c r="B64" s="76"/>
      <c r="C64" s="76"/>
      <c r="D64" s="76"/>
      <c r="E64" s="83"/>
      <c r="F64" s="83"/>
      <c r="G64" s="83"/>
      <c r="H64" s="83"/>
      <c r="I64" s="83"/>
      <c r="J64" s="83"/>
      <c r="K64" s="83"/>
      <c r="L64" s="83"/>
      <c r="M64" s="83"/>
      <c r="N64" s="83"/>
      <c r="O64" s="83"/>
      <c r="P64" s="83"/>
      <c r="Q64" s="83"/>
      <c r="R64" s="83"/>
      <c r="S64" s="83"/>
      <c r="T64" s="83"/>
      <c r="U64" s="83"/>
      <c r="V64" s="83"/>
      <c r="W64" s="83"/>
      <c r="X64" s="83"/>
      <c r="Y64" s="83"/>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row>
    <row r="65" spans="1:60" ht="12.75" customHeight="1" x14ac:dyDescent="0.2">
      <c r="A65" s="76"/>
      <c r="B65" s="210" t="s">
        <v>338</v>
      </c>
      <c r="C65" s="76"/>
      <c r="D65" s="76"/>
      <c r="E65" s="211" t="s">
        <v>401</v>
      </c>
      <c r="F65" s="212"/>
      <c r="G65" s="93" t="s">
        <v>402</v>
      </c>
      <c r="H65" s="179" t="s">
        <v>410</v>
      </c>
      <c r="I65" s="180"/>
      <c r="J65" s="179" t="s">
        <v>411</v>
      </c>
      <c r="K65" s="180"/>
      <c r="L65" s="179" t="s">
        <v>412</v>
      </c>
      <c r="M65" s="180"/>
      <c r="N65" s="179" t="s">
        <v>363</v>
      </c>
      <c r="O65" s="180"/>
      <c r="P65" s="179" t="s">
        <v>364</v>
      </c>
      <c r="Q65" s="180"/>
      <c r="R65" s="179" t="s">
        <v>413</v>
      </c>
      <c r="S65" s="180"/>
      <c r="T65" s="179" t="str">
        <f>IF(AW68="",T69,CONCATENATE(T69," (",FIXED(AW68,2),")"))</f>
        <v>Y7</v>
      </c>
      <c r="U65" s="180"/>
      <c r="V65" s="179" t="str">
        <f>IF(AY68="",V69,CONCATENATE(V69," (",FIXED(AY68,2),")"))</f>
        <v>Y8</v>
      </c>
      <c r="W65" s="180"/>
      <c r="X65" s="179" t="str">
        <f>IF(BA68="",X69,CONCATENATE(X69," (",FIXED(BA68,2),")"))</f>
        <v>Y9</v>
      </c>
      <c r="Y65" s="180"/>
      <c r="Z65" s="179" t="str">
        <f>IF(BC68="",Z69,CONCATENATE(Z69," (",FIXED(BC68,2),")"))</f>
        <v>Y10</v>
      </c>
      <c r="AA65" s="180"/>
      <c r="AB65" s="76"/>
      <c r="AC65" s="76"/>
      <c r="AD65" s="76"/>
      <c r="AE65" s="76"/>
      <c r="AF65" s="76"/>
      <c r="AG65" s="76"/>
      <c r="AH65" s="76"/>
      <c r="AI65" s="94" t="s">
        <v>47</v>
      </c>
      <c r="AJ65" s="95" t="s">
        <v>152</v>
      </c>
      <c r="AK65" s="179" t="s">
        <v>6</v>
      </c>
      <c r="AL65" s="197"/>
      <c r="AM65" s="179" t="s">
        <v>7</v>
      </c>
      <c r="AN65" s="197"/>
      <c r="AO65" s="179" t="s">
        <v>8</v>
      </c>
      <c r="AP65" s="197"/>
      <c r="AQ65" s="179" t="s">
        <v>9</v>
      </c>
      <c r="AR65" s="197"/>
      <c r="AS65" s="179" t="s">
        <v>10</v>
      </c>
      <c r="AT65" s="197"/>
      <c r="AU65" s="179" t="s">
        <v>11</v>
      </c>
      <c r="AV65" s="197"/>
      <c r="AW65" s="179" t="s">
        <v>12</v>
      </c>
      <c r="AX65" s="197"/>
      <c r="AY65" s="179" t="s">
        <v>13</v>
      </c>
      <c r="AZ65" s="197"/>
      <c r="BA65" s="179" t="s">
        <v>14</v>
      </c>
      <c r="BB65" s="197"/>
      <c r="BC65" s="179" t="s">
        <v>157</v>
      </c>
      <c r="BD65" s="197"/>
      <c r="BE65" s="76"/>
      <c r="BF65" s="76"/>
      <c r="BG65" s="76"/>
      <c r="BH65" s="76"/>
    </row>
    <row r="66" spans="1:60" x14ac:dyDescent="0.2">
      <c r="A66" s="76"/>
      <c r="B66" s="201"/>
      <c r="C66" s="76"/>
      <c r="D66" s="76"/>
      <c r="E66" s="213"/>
      <c r="F66" s="214"/>
      <c r="G66" s="93" t="s">
        <v>154</v>
      </c>
      <c r="H66" s="195">
        <v>0.125</v>
      </c>
      <c r="I66" s="196"/>
      <c r="J66" s="195">
        <v>0</v>
      </c>
      <c r="K66" s="196"/>
      <c r="L66" s="195">
        <v>-1E-3</v>
      </c>
      <c r="M66" s="196"/>
      <c r="N66" s="195"/>
      <c r="O66" s="196"/>
      <c r="P66" s="195"/>
      <c r="Q66" s="196"/>
      <c r="R66" s="195"/>
      <c r="S66" s="196"/>
      <c r="T66" s="195"/>
      <c r="U66" s="196"/>
      <c r="V66" s="195"/>
      <c r="W66" s="196"/>
      <c r="X66" s="195"/>
      <c r="Y66" s="196"/>
      <c r="Z66" s="195"/>
      <c r="AA66" s="196"/>
      <c r="AB66" s="76"/>
      <c r="AC66" s="76"/>
      <c r="AD66" s="76"/>
      <c r="AE66" s="76"/>
      <c r="AF66" s="76"/>
      <c r="AG66" s="76"/>
      <c r="AH66" s="76"/>
      <c r="AI66" s="94"/>
      <c r="AJ66" s="98" t="s">
        <v>155</v>
      </c>
      <c r="AK66" s="237">
        <f>H66</f>
        <v>0.125</v>
      </c>
      <c r="AL66" s="236"/>
      <c r="AM66" s="208">
        <f>IF(J66="",IF(I67="","",AK66+I67),J66)</f>
        <v>0</v>
      </c>
      <c r="AN66" s="236"/>
      <c r="AO66" s="208">
        <f>IF(L66="",IF(K67="","",AM66+K67),L66)</f>
        <v>-1E-3</v>
      </c>
      <c r="AP66" s="236"/>
      <c r="AQ66" s="208" t="str">
        <f>IF(N66="",IF(M67="","",AO66+M67),N66)</f>
        <v/>
      </c>
      <c r="AR66" s="236"/>
      <c r="AS66" s="208" t="str">
        <f>IF(P66="",IF(O67="","",AQ66+O67),P66)</f>
        <v/>
      </c>
      <c r="AT66" s="236"/>
      <c r="AU66" s="208" t="str">
        <f>IF(R66="",IF(Q67="","",AS66+Q67),R66)</f>
        <v/>
      </c>
      <c r="AV66" s="236"/>
      <c r="AW66" s="208" t="str">
        <f>IF(T66="",IF(S67="","",AU66+S67),T66)</f>
        <v/>
      </c>
      <c r="AX66" s="236"/>
      <c r="AY66" s="208" t="str">
        <f>IF(V66="",IF(U67="","",AW66+U67),V66)</f>
        <v/>
      </c>
      <c r="AZ66" s="236"/>
      <c r="BA66" s="208" t="str">
        <f>IF(X66="",IF(W67="","",AY66+W67),X66)</f>
        <v/>
      </c>
      <c r="BB66" s="236"/>
      <c r="BC66" s="208" t="str">
        <f>IF(Z66="",IF(Y67="","",BA66+Y67),Z66)</f>
        <v/>
      </c>
      <c r="BD66" s="236"/>
      <c r="BE66" s="76"/>
      <c r="BF66" s="76"/>
      <c r="BG66" s="76"/>
      <c r="BH66" s="76"/>
    </row>
    <row r="67" spans="1:60" x14ac:dyDescent="0.2">
      <c r="A67" s="76"/>
      <c r="B67" s="76"/>
      <c r="C67" s="76"/>
      <c r="D67" s="76"/>
      <c r="E67" s="100"/>
      <c r="F67" s="101"/>
      <c r="G67" s="102" t="s">
        <v>149</v>
      </c>
      <c r="H67" s="80"/>
      <c r="I67" s="155"/>
      <c r="J67" s="156"/>
      <c r="K67" s="155"/>
      <c r="L67" s="156"/>
      <c r="M67" s="155"/>
      <c r="N67" s="156"/>
      <c r="O67" s="155"/>
      <c r="P67" s="156"/>
      <c r="Q67" s="155"/>
      <c r="R67" s="156"/>
      <c r="S67" s="80"/>
      <c r="T67" s="80"/>
      <c r="U67" s="155"/>
      <c r="V67" s="156"/>
      <c r="W67" s="155"/>
      <c r="X67" s="156"/>
      <c r="Y67" s="155"/>
      <c r="Z67" s="165"/>
      <c r="AA67" s="103"/>
      <c r="AB67" s="76"/>
      <c r="AC67" s="76"/>
      <c r="AD67" s="76"/>
      <c r="AE67" s="76"/>
      <c r="AF67" s="76"/>
      <c r="AG67" s="76"/>
      <c r="AH67" s="76"/>
      <c r="AI67" s="94"/>
      <c r="AJ67" s="104" t="s">
        <v>149</v>
      </c>
      <c r="AK67" s="93"/>
      <c r="AL67" s="208">
        <f>IF(J66="",IF(I67="","",I67),AM66-AK66)</f>
        <v>-0.125</v>
      </c>
      <c r="AM67" s="209"/>
      <c r="AN67" s="208" t="str">
        <f>IF(O68="",IF(K67="","",K67),AO66-AM66)</f>
        <v/>
      </c>
      <c r="AO67" s="209"/>
      <c r="AP67" s="208" t="str">
        <f>IF(N66="",IF(M67="","",M67),AQ66-AO66)</f>
        <v/>
      </c>
      <c r="AQ67" s="209"/>
      <c r="AR67" s="208" t="str">
        <f>IF(P66="",IF(O67="","",O67),AS66-AQ66)</f>
        <v/>
      </c>
      <c r="AS67" s="209"/>
      <c r="AT67" s="208" t="str">
        <f>IF(R66="",IF(Q67="","",Q67),AU66-AS66)</f>
        <v/>
      </c>
      <c r="AU67" s="209"/>
      <c r="AV67" s="208" t="str">
        <f>IF(T66="",IF(S67="","",S67),AW66-AU66)</f>
        <v/>
      </c>
      <c r="AW67" s="209"/>
      <c r="AX67" s="208" t="str">
        <f>IF(V66="",IF(U67="","",U67),AY66-AW66)</f>
        <v/>
      </c>
      <c r="AY67" s="209"/>
      <c r="AZ67" s="208" t="str">
        <f>IF(X66="",IF(W67="","",W67),BA66-AY66)</f>
        <v/>
      </c>
      <c r="BA67" s="209"/>
      <c r="BB67" s="208" t="str">
        <f>IF(Z66="",IF(Y67="","",Y67),BC66-BA66)</f>
        <v/>
      </c>
      <c r="BC67" s="209"/>
      <c r="BD67" s="103"/>
      <c r="BE67" s="76"/>
      <c r="BF67" s="76"/>
      <c r="BG67" s="76"/>
      <c r="BH67" s="76"/>
    </row>
    <row r="68" spans="1:60" x14ac:dyDescent="0.2">
      <c r="A68" s="76"/>
      <c r="B68" s="76"/>
      <c r="C68" s="76"/>
      <c r="D68" s="76"/>
      <c r="E68" s="105"/>
      <c r="F68" s="106"/>
      <c r="G68" s="107" t="s">
        <v>4</v>
      </c>
      <c r="H68" s="80"/>
      <c r="I68" s="239" t="s">
        <v>2</v>
      </c>
      <c r="J68" s="240"/>
      <c r="K68" s="240" t="s">
        <v>0</v>
      </c>
      <c r="L68" s="240"/>
      <c r="M68" s="240"/>
      <c r="N68" s="240"/>
      <c r="O68" s="195"/>
      <c r="P68" s="196"/>
      <c r="Q68" s="240"/>
      <c r="R68" s="240"/>
      <c r="S68" s="80"/>
      <c r="T68" s="80"/>
      <c r="U68" s="240"/>
      <c r="V68" s="240"/>
      <c r="W68" s="240"/>
      <c r="X68" s="240"/>
      <c r="Y68" s="238"/>
      <c r="Z68" s="239"/>
      <c r="AA68" s="103"/>
      <c r="AB68" s="76"/>
      <c r="AC68" s="76"/>
      <c r="AD68" s="76"/>
      <c r="AE68" s="76"/>
      <c r="AF68" s="76"/>
      <c r="AG68" s="76"/>
      <c r="AH68" s="76"/>
      <c r="AI68" s="76"/>
      <c r="AJ68" s="76"/>
      <c r="AK68" s="206">
        <v>12.25</v>
      </c>
      <c r="AL68" s="207"/>
      <c r="AM68" s="206">
        <v>25</v>
      </c>
      <c r="AN68" s="207"/>
      <c r="AO68" s="206">
        <v>34.902000000000001</v>
      </c>
      <c r="AP68" s="207"/>
      <c r="AQ68" s="206"/>
      <c r="AR68" s="207"/>
      <c r="AS68" s="206"/>
      <c r="AT68" s="207"/>
      <c r="AU68" s="206">
        <v>24.729673375000001</v>
      </c>
      <c r="AV68" s="207"/>
      <c r="AW68" s="206"/>
      <c r="AX68" s="207"/>
      <c r="AY68" s="206"/>
      <c r="AZ68" s="207"/>
      <c r="BA68" s="206"/>
      <c r="BB68" s="207"/>
      <c r="BC68" s="206"/>
      <c r="BD68" s="207"/>
      <c r="BE68" s="76"/>
      <c r="BF68" s="76"/>
      <c r="BG68" s="76"/>
      <c r="BH68" s="76"/>
    </row>
    <row r="69" spans="1:60" x14ac:dyDescent="0.2">
      <c r="A69" s="76"/>
      <c r="B69" s="76"/>
      <c r="C69" s="76"/>
      <c r="D69" s="76"/>
      <c r="E69" s="108" t="s">
        <v>49</v>
      </c>
      <c r="F69" s="81" t="s">
        <v>141</v>
      </c>
      <c r="G69" s="81" t="s">
        <v>140</v>
      </c>
      <c r="H69" s="204" t="str">
        <f>General!G73</f>
        <v>Z1</v>
      </c>
      <c r="I69" s="205"/>
      <c r="J69" s="204" t="str">
        <f>General!G74</f>
        <v>Z2</v>
      </c>
      <c r="K69" s="205"/>
      <c r="L69" s="204" t="str">
        <f>General!G75</f>
        <v>Z3</v>
      </c>
      <c r="M69" s="205"/>
      <c r="N69" s="204" t="str">
        <f>General!G76</f>
        <v>Z4</v>
      </c>
      <c r="O69" s="205"/>
      <c r="P69" s="204" t="str">
        <f>General!G77</f>
        <v>Z5</v>
      </c>
      <c r="Q69" s="205"/>
      <c r="R69" s="204" t="str">
        <f>General!G78</f>
        <v>Z6</v>
      </c>
      <c r="S69" s="205"/>
      <c r="T69" s="204" t="s">
        <v>12</v>
      </c>
      <c r="U69" s="205"/>
      <c r="V69" s="204" t="s">
        <v>13</v>
      </c>
      <c r="W69" s="204"/>
      <c r="X69" s="204" t="s">
        <v>14</v>
      </c>
      <c r="Y69" s="205"/>
      <c r="Z69" s="204" t="s">
        <v>157</v>
      </c>
      <c r="AA69" s="204"/>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row>
    <row r="70" spans="1:60" ht="6.6" customHeight="1" x14ac:dyDescent="0.25">
      <c r="A70" s="76"/>
      <c r="B70" s="76"/>
      <c r="C70" s="76"/>
      <c r="D70" s="76"/>
      <c r="E70" s="200" t="s">
        <v>455</v>
      </c>
      <c r="F70" s="202" t="str">
        <f>IF(AI11="","",FIXED(AI11,2))</f>
        <v/>
      </c>
      <c r="G70" s="82"/>
      <c r="H70" s="109"/>
      <c r="I70" s="109"/>
      <c r="J70" s="109"/>
      <c r="K70" s="109"/>
      <c r="L70" s="109"/>
      <c r="M70" s="109"/>
      <c r="N70" s="109"/>
      <c r="O70" s="109"/>
      <c r="P70" s="109"/>
      <c r="Q70" s="109"/>
      <c r="R70" s="109"/>
      <c r="S70" s="109"/>
      <c r="T70" s="109"/>
      <c r="U70" s="109"/>
      <c r="V70" s="109"/>
      <c r="W70" s="109"/>
      <c r="X70" s="109"/>
      <c r="Y70" s="109"/>
      <c r="Z70" s="109"/>
      <c r="AA70" s="109"/>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row>
    <row r="71" spans="1:60" ht="6.6" customHeight="1" x14ac:dyDescent="0.2">
      <c r="A71" s="76"/>
      <c r="B71" s="76"/>
      <c r="C71" s="76"/>
      <c r="D71" s="76"/>
      <c r="E71" s="201"/>
      <c r="F71" s="203"/>
      <c r="G71" s="198" t="str">
        <f>IF(AJ12="","",FIXED(AJ12,2))</f>
        <v/>
      </c>
      <c r="H71" s="109"/>
      <c r="I71" s="109"/>
      <c r="J71" s="109"/>
      <c r="K71" s="109"/>
      <c r="L71" s="109"/>
      <c r="M71" s="109"/>
      <c r="N71" s="109"/>
      <c r="O71" s="109"/>
      <c r="P71" s="109"/>
      <c r="Q71" s="109"/>
      <c r="R71" s="109"/>
      <c r="S71" s="109"/>
      <c r="T71" s="109"/>
      <c r="U71" s="109"/>
      <c r="V71" s="109"/>
      <c r="W71" s="109"/>
      <c r="X71" s="109"/>
      <c r="Y71" s="109"/>
      <c r="Z71" s="109"/>
      <c r="AA71" s="109"/>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row>
    <row r="72" spans="1:60" ht="6.6" customHeight="1" x14ac:dyDescent="0.2">
      <c r="A72" s="76"/>
      <c r="B72" s="76"/>
      <c r="C72" s="76"/>
      <c r="D72" s="76"/>
      <c r="E72" s="200" t="s">
        <v>27</v>
      </c>
      <c r="F72" s="202" t="str">
        <f>IF(AI13="","",FIXED(AI13,2))</f>
        <v/>
      </c>
      <c r="G72" s="199"/>
      <c r="H72" s="109"/>
      <c r="I72" s="109"/>
      <c r="J72" s="109"/>
      <c r="K72" s="109"/>
      <c r="L72" s="109"/>
      <c r="M72" s="109"/>
      <c r="N72" s="109"/>
      <c r="O72" s="109"/>
      <c r="P72" s="109"/>
      <c r="Q72" s="109"/>
      <c r="R72" s="109"/>
      <c r="S72" s="109"/>
      <c r="T72" s="109"/>
      <c r="U72" s="109"/>
      <c r="V72" s="109"/>
      <c r="W72" s="109"/>
      <c r="X72" s="109"/>
      <c r="Y72" s="109"/>
      <c r="Z72" s="109"/>
      <c r="AA72" s="109"/>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row>
    <row r="73" spans="1:60" ht="6.6" customHeight="1" x14ac:dyDescent="0.2">
      <c r="A73" s="76"/>
      <c r="B73" s="76"/>
      <c r="C73" s="76"/>
      <c r="D73" s="76"/>
      <c r="E73" s="201"/>
      <c r="F73" s="203"/>
      <c r="G73" s="198" t="str">
        <f>IF(AJ14="","",FIXED(AJ14,2))</f>
        <v/>
      </c>
      <c r="H73" s="109"/>
      <c r="I73" s="109"/>
      <c r="J73" s="109"/>
      <c r="K73" s="109"/>
      <c r="L73" s="109"/>
      <c r="M73" s="109"/>
      <c r="N73" s="109"/>
      <c r="O73" s="109"/>
      <c r="P73" s="109"/>
      <c r="Q73" s="109"/>
      <c r="R73" s="109"/>
      <c r="S73" s="109"/>
      <c r="T73" s="109"/>
      <c r="U73" s="109"/>
      <c r="V73" s="109"/>
      <c r="W73" s="109"/>
      <c r="X73" s="109"/>
      <c r="Y73" s="109"/>
      <c r="Z73" s="109"/>
      <c r="AA73" s="109"/>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row>
    <row r="74" spans="1:60" ht="6.6" customHeight="1" x14ac:dyDescent="0.2">
      <c r="A74" s="76"/>
      <c r="B74" s="76"/>
      <c r="C74" s="76"/>
      <c r="D74" s="76"/>
      <c r="E74" s="200" t="s">
        <v>28</v>
      </c>
      <c r="F74" s="202" t="str">
        <f>IF(AI15="","",FIXED(AI15,2))</f>
        <v/>
      </c>
      <c r="G74" s="199"/>
      <c r="H74" s="109"/>
      <c r="I74" s="109"/>
      <c r="J74" s="109"/>
      <c r="K74" s="109"/>
      <c r="L74" s="109"/>
      <c r="M74" s="109"/>
      <c r="N74" s="109"/>
      <c r="O74" s="109"/>
      <c r="P74" s="109"/>
      <c r="Q74" s="109"/>
      <c r="R74" s="109"/>
      <c r="S74" s="109"/>
      <c r="T74" s="109"/>
      <c r="U74" s="109"/>
      <c r="V74" s="109"/>
      <c r="W74" s="109"/>
      <c r="X74" s="109"/>
      <c r="Y74" s="109"/>
      <c r="Z74" s="109"/>
      <c r="AA74" s="109"/>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row>
    <row r="75" spans="1:60" ht="6.6" customHeight="1" x14ac:dyDescent="0.2">
      <c r="A75" s="76"/>
      <c r="B75" s="76"/>
      <c r="C75" s="76"/>
      <c r="D75" s="76"/>
      <c r="E75" s="201"/>
      <c r="F75" s="203"/>
      <c r="G75" s="198" t="str">
        <f>IF(AJ16="","",FIXED(AJ16,2))</f>
        <v/>
      </c>
      <c r="H75" s="109"/>
      <c r="I75" s="109"/>
      <c r="J75" s="109"/>
      <c r="K75" s="109"/>
      <c r="L75" s="109"/>
      <c r="M75" s="109"/>
      <c r="N75" s="109"/>
      <c r="O75" s="109"/>
      <c r="P75" s="109"/>
      <c r="Q75" s="109"/>
      <c r="R75" s="109"/>
      <c r="S75" s="109"/>
      <c r="T75" s="109"/>
      <c r="U75" s="109"/>
      <c r="V75" s="109"/>
      <c r="W75" s="109"/>
      <c r="X75" s="109"/>
      <c r="Y75" s="109"/>
      <c r="Z75" s="109"/>
      <c r="AA75" s="109"/>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row>
    <row r="76" spans="1:60" ht="6.6" customHeight="1" x14ac:dyDescent="0.2">
      <c r="A76" s="76"/>
      <c r="B76" s="76"/>
      <c r="C76" s="76"/>
      <c r="D76" s="76"/>
      <c r="E76" s="200" t="s">
        <v>29</v>
      </c>
      <c r="F76" s="202" t="str">
        <f>IF(AI17="","",FIXED(AI17,2))</f>
        <v/>
      </c>
      <c r="G76" s="199"/>
      <c r="H76" s="109"/>
      <c r="I76" s="109"/>
      <c r="J76" s="109"/>
      <c r="K76" s="109"/>
      <c r="L76" s="109"/>
      <c r="M76" s="109"/>
      <c r="N76" s="109"/>
      <c r="O76" s="109"/>
      <c r="P76" s="109"/>
      <c r="Q76" s="109"/>
      <c r="R76" s="109"/>
      <c r="S76" s="109"/>
      <c r="T76" s="109"/>
      <c r="U76" s="109"/>
      <c r="V76" s="109"/>
      <c r="W76" s="109"/>
      <c r="X76" s="109"/>
      <c r="Y76" s="109"/>
      <c r="Z76" s="109"/>
      <c r="AA76" s="109"/>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row>
    <row r="77" spans="1:60" ht="6.6" customHeight="1" x14ac:dyDescent="0.2">
      <c r="A77" s="76"/>
      <c r="B77" s="76"/>
      <c r="C77" s="76"/>
      <c r="D77" s="76"/>
      <c r="E77" s="201"/>
      <c r="F77" s="203"/>
      <c r="G77" s="198" t="str">
        <f>IF(AJ18="","",FIXED(AJ18,2))</f>
        <v/>
      </c>
      <c r="H77" s="109"/>
      <c r="I77" s="109"/>
      <c r="J77" s="109"/>
      <c r="K77" s="109"/>
      <c r="L77" s="109"/>
      <c r="M77" s="109"/>
      <c r="N77" s="109"/>
      <c r="O77" s="109"/>
      <c r="P77" s="109"/>
      <c r="Q77" s="109"/>
      <c r="R77" s="109"/>
      <c r="S77" s="109"/>
      <c r="T77" s="109"/>
      <c r="U77" s="109"/>
      <c r="V77" s="109"/>
      <c r="W77" s="109"/>
      <c r="X77" s="109"/>
      <c r="Y77" s="109"/>
      <c r="Z77" s="109"/>
      <c r="AA77" s="109"/>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row>
    <row r="78" spans="1:60" ht="6.6" customHeight="1" x14ac:dyDescent="0.2">
      <c r="A78" s="76"/>
      <c r="B78" s="76"/>
      <c r="C78" s="76"/>
      <c r="D78" s="76"/>
      <c r="E78" s="200" t="s">
        <v>30</v>
      </c>
      <c r="F78" s="202" t="str">
        <f>IF(AI19="","",FIXED(AI19,2))</f>
        <v/>
      </c>
      <c r="G78" s="199"/>
      <c r="H78" s="109"/>
      <c r="I78" s="109"/>
      <c r="J78" s="109"/>
      <c r="K78" s="109"/>
      <c r="L78" s="109"/>
      <c r="M78" s="109"/>
      <c r="N78" s="109"/>
      <c r="O78" s="109"/>
      <c r="P78" s="109"/>
      <c r="Q78" s="109"/>
      <c r="R78" s="109"/>
      <c r="S78" s="109"/>
      <c r="T78" s="109"/>
      <c r="U78" s="109"/>
      <c r="V78" s="109"/>
      <c r="W78" s="109"/>
      <c r="X78" s="109"/>
      <c r="Y78" s="109"/>
      <c r="Z78" s="109"/>
      <c r="AA78" s="109"/>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row>
    <row r="79" spans="1:60" ht="6.6" customHeight="1" x14ac:dyDescent="0.2">
      <c r="A79" s="76"/>
      <c r="B79" s="76"/>
      <c r="C79" s="76"/>
      <c r="D79" s="76"/>
      <c r="E79" s="201"/>
      <c r="F79" s="203"/>
      <c r="G79" s="198" t="str">
        <f>IF(AJ20="","",FIXED(AJ20,2))</f>
        <v/>
      </c>
      <c r="H79" s="109"/>
      <c r="I79" s="109"/>
      <c r="J79" s="109"/>
      <c r="K79" s="109"/>
      <c r="L79" s="109"/>
      <c r="M79" s="109"/>
      <c r="N79" s="109"/>
      <c r="O79" s="109"/>
      <c r="P79" s="109"/>
      <c r="Q79" s="109"/>
      <c r="R79" s="109"/>
      <c r="S79" s="109"/>
      <c r="T79" s="109"/>
      <c r="U79" s="109"/>
      <c r="V79" s="109"/>
      <c r="W79" s="109"/>
      <c r="X79" s="109"/>
      <c r="Y79" s="109"/>
      <c r="Z79" s="109"/>
      <c r="AA79" s="109"/>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row>
    <row r="80" spans="1:60" ht="6.6" customHeight="1" x14ac:dyDescent="0.2">
      <c r="A80" s="76"/>
      <c r="B80" s="76"/>
      <c r="C80" s="76"/>
      <c r="D80" s="76"/>
      <c r="E80" s="200" t="s">
        <v>31</v>
      </c>
      <c r="F80" s="202" t="str">
        <f>IF(AI21="","",FIXED(AI21,2))</f>
        <v/>
      </c>
      <c r="G80" s="199"/>
      <c r="H80" s="109"/>
      <c r="I80" s="109"/>
      <c r="J80" s="109"/>
      <c r="K80" s="109"/>
      <c r="L80" s="109"/>
      <c r="M80" s="109"/>
      <c r="N80" s="109"/>
      <c r="O80" s="109"/>
      <c r="P80" s="109"/>
      <c r="Q80" s="109"/>
      <c r="R80" s="109"/>
      <c r="S80" s="109"/>
      <c r="T80" s="109"/>
      <c r="U80" s="109"/>
      <c r="V80" s="109"/>
      <c r="W80" s="109"/>
      <c r="X80" s="109"/>
      <c r="Y80" s="109"/>
      <c r="Z80" s="109"/>
      <c r="AA80" s="109"/>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row>
    <row r="81" spans="1:60" ht="6.6" customHeight="1" x14ac:dyDescent="0.2">
      <c r="A81" s="76"/>
      <c r="B81" s="76"/>
      <c r="C81" s="76"/>
      <c r="D81" s="76"/>
      <c r="E81" s="201"/>
      <c r="F81" s="203"/>
      <c r="G81" s="198" t="str">
        <f>IF(AJ22="","",FIXED(AJ22,2))</f>
        <v/>
      </c>
      <c r="H81" s="109"/>
      <c r="I81" s="109"/>
      <c r="J81" s="109"/>
      <c r="K81" s="109"/>
      <c r="L81" s="109"/>
      <c r="M81" s="109"/>
      <c r="N81" s="109"/>
      <c r="O81" s="109"/>
      <c r="P81" s="109"/>
      <c r="Q81" s="109"/>
      <c r="R81" s="109"/>
      <c r="S81" s="109"/>
      <c r="T81" s="109"/>
      <c r="U81" s="109"/>
      <c r="V81" s="109"/>
      <c r="W81" s="109"/>
      <c r="X81" s="109"/>
      <c r="Y81" s="109"/>
      <c r="Z81" s="109"/>
      <c r="AA81" s="109"/>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row>
    <row r="82" spans="1:60" ht="6.6" customHeight="1" x14ac:dyDescent="0.2">
      <c r="A82" s="76"/>
      <c r="B82" s="76"/>
      <c r="C82" s="76"/>
      <c r="D82" s="76"/>
      <c r="E82" s="200" t="s">
        <v>32</v>
      </c>
      <c r="F82" s="202" t="str">
        <f>IF(AI23="","",FIXED(AI23,2))</f>
        <v/>
      </c>
      <c r="G82" s="199"/>
      <c r="H82" s="109"/>
      <c r="I82" s="109"/>
      <c r="J82" s="109"/>
      <c r="K82" s="109"/>
      <c r="L82" s="109"/>
      <c r="M82" s="109"/>
      <c r="N82" s="109"/>
      <c r="O82" s="109"/>
      <c r="P82" s="109"/>
      <c r="Q82" s="109"/>
      <c r="R82" s="109"/>
      <c r="S82" s="109"/>
      <c r="T82" s="109"/>
      <c r="U82" s="109"/>
      <c r="V82" s="109"/>
      <c r="W82" s="109"/>
      <c r="X82" s="109"/>
      <c r="Y82" s="109"/>
      <c r="Z82" s="109"/>
      <c r="AA82" s="109"/>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row>
    <row r="83" spans="1:60" ht="6.6" customHeight="1" x14ac:dyDescent="0.2">
      <c r="A83" s="76"/>
      <c r="B83" s="76"/>
      <c r="C83" s="76"/>
      <c r="D83" s="76"/>
      <c r="E83" s="201"/>
      <c r="F83" s="203"/>
      <c r="G83" s="198" t="str">
        <f>IF(AJ24="","",FIXED(AJ24,2))</f>
        <v/>
      </c>
      <c r="H83" s="109"/>
      <c r="I83" s="109"/>
      <c r="J83" s="109"/>
      <c r="K83" s="109"/>
      <c r="L83" s="109"/>
      <c r="M83" s="109"/>
      <c r="N83" s="109"/>
      <c r="O83" s="109"/>
      <c r="P83" s="109"/>
      <c r="Q83" s="109"/>
      <c r="R83" s="109"/>
      <c r="S83" s="109"/>
      <c r="T83" s="109"/>
      <c r="U83" s="109"/>
      <c r="V83" s="109"/>
      <c r="W83" s="109"/>
      <c r="X83" s="109"/>
      <c r="Y83" s="109"/>
      <c r="Z83" s="109"/>
      <c r="AA83" s="109"/>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row>
    <row r="84" spans="1:60" ht="6.6" customHeight="1" x14ac:dyDescent="0.2">
      <c r="A84" s="76"/>
      <c r="B84" s="76"/>
      <c r="C84" s="76"/>
      <c r="D84" s="76"/>
      <c r="E84" s="200" t="s">
        <v>33</v>
      </c>
      <c r="F84" s="202" t="str">
        <f>IF(AI25="","",FIXED(AI25,2))</f>
        <v/>
      </c>
      <c r="G84" s="199"/>
      <c r="H84" s="109"/>
      <c r="I84" s="109"/>
      <c r="J84" s="109"/>
      <c r="K84" s="109"/>
      <c r="L84" s="109"/>
      <c r="M84" s="109"/>
      <c r="N84" s="109"/>
      <c r="O84" s="109"/>
      <c r="P84" s="109"/>
      <c r="Q84" s="109"/>
      <c r="R84" s="109"/>
      <c r="S84" s="109"/>
      <c r="T84" s="109"/>
      <c r="U84" s="109"/>
      <c r="V84" s="109"/>
      <c r="W84" s="109"/>
      <c r="X84" s="109"/>
      <c r="Y84" s="109"/>
      <c r="Z84" s="109"/>
      <c r="AA84" s="109"/>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row>
    <row r="85" spans="1:60" ht="6.6" customHeight="1" x14ac:dyDescent="0.2">
      <c r="A85" s="76"/>
      <c r="B85" s="76"/>
      <c r="C85" s="76"/>
      <c r="D85" s="76"/>
      <c r="E85" s="201"/>
      <c r="F85" s="203"/>
      <c r="G85" s="198" t="str">
        <f>IF(AJ26="","",FIXED(AJ26,2))</f>
        <v/>
      </c>
      <c r="H85" s="109"/>
      <c r="I85" s="109"/>
      <c r="J85" s="109"/>
      <c r="K85" s="109"/>
      <c r="L85" s="109"/>
      <c r="M85" s="109"/>
      <c r="N85" s="109"/>
      <c r="O85" s="109"/>
      <c r="P85" s="109"/>
      <c r="Q85" s="109"/>
      <c r="R85" s="109"/>
      <c r="S85" s="109"/>
      <c r="T85" s="109"/>
      <c r="U85" s="109"/>
      <c r="V85" s="109"/>
      <c r="W85" s="109"/>
      <c r="X85" s="109"/>
      <c r="Y85" s="109"/>
      <c r="Z85" s="109"/>
      <c r="AA85" s="109"/>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row>
    <row r="86" spans="1:60" ht="6.6" customHeight="1" x14ac:dyDescent="0.2">
      <c r="A86" s="76"/>
      <c r="B86" s="76"/>
      <c r="C86" s="76"/>
      <c r="D86" s="76"/>
      <c r="E86" s="200" t="s">
        <v>34</v>
      </c>
      <c r="F86" s="202" t="str">
        <f>IF(AI27="","",FIXED(AI27,2))</f>
        <v/>
      </c>
      <c r="G86" s="199"/>
      <c r="H86" s="109"/>
      <c r="I86" s="109"/>
      <c r="J86" s="109"/>
      <c r="K86" s="109"/>
      <c r="L86" s="109"/>
      <c r="M86" s="109"/>
      <c r="N86" s="109"/>
      <c r="O86" s="109"/>
      <c r="P86" s="109"/>
      <c r="Q86" s="109"/>
      <c r="R86" s="109"/>
      <c r="S86" s="109"/>
      <c r="T86" s="109"/>
      <c r="U86" s="109"/>
      <c r="V86" s="109"/>
      <c r="W86" s="109"/>
      <c r="X86" s="109"/>
      <c r="Y86" s="109"/>
      <c r="Z86" s="109"/>
      <c r="AA86" s="109"/>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row>
    <row r="87" spans="1:60" ht="6.6" customHeight="1" x14ac:dyDescent="0.2">
      <c r="A87" s="76"/>
      <c r="B87" s="76"/>
      <c r="C87" s="76"/>
      <c r="D87" s="76"/>
      <c r="E87" s="201"/>
      <c r="F87" s="203"/>
      <c r="G87" s="198" t="str">
        <f>IF(AJ28="","",FIXED(AJ28,2))</f>
        <v/>
      </c>
      <c r="H87" s="109"/>
      <c r="I87" s="109"/>
      <c r="J87" s="109"/>
      <c r="K87" s="109"/>
      <c r="L87" s="109"/>
      <c r="M87" s="109"/>
      <c r="N87" s="109"/>
      <c r="O87" s="109"/>
      <c r="P87" s="109"/>
      <c r="Q87" s="109"/>
      <c r="R87" s="109"/>
      <c r="S87" s="109"/>
      <c r="T87" s="109"/>
      <c r="U87" s="109"/>
      <c r="V87" s="109"/>
      <c r="W87" s="109"/>
      <c r="X87" s="109"/>
      <c r="Y87" s="109"/>
      <c r="Z87" s="109"/>
      <c r="AA87" s="109"/>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row>
    <row r="88" spans="1:60" ht="6.6" customHeight="1" x14ac:dyDescent="0.2">
      <c r="A88" s="76"/>
      <c r="B88" s="76"/>
      <c r="C88" s="76"/>
      <c r="D88" s="76"/>
      <c r="E88" s="200" t="s">
        <v>35</v>
      </c>
      <c r="F88" s="202" t="str">
        <f>IF(AI29="","",FIXED(AI29,2))</f>
        <v/>
      </c>
      <c r="G88" s="199"/>
      <c r="H88" s="109"/>
      <c r="I88" s="109"/>
      <c r="J88" s="109"/>
      <c r="K88" s="109"/>
      <c r="L88" s="109"/>
      <c r="M88" s="109"/>
      <c r="N88" s="109"/>
      <c r="O88" s="109"/>
      <c r="P88" s="109"/>
      <c r="Q88" s="109"/>
      <c r="R88" s="109"/>
      <c r="S88" s="109"/>
      <c r="T88" s="109"/>
      <c r="U88" s="109"/>
      <c r="V88" s="109"/>
      <c r="W88" s="109"/>
      <c r="X88" s="109"/>
      <c r="Y88" s="109"/>
      <c r="Z88" s="109"/>
      <c r="AA88" s="109"/>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row>
    <row r="89" spans="1:60" ht="6.6" customHeight="1" x14ac:dyDescent="0.2">
      <c r="A89" s="76"/>
      <c r="B89" s="76"/>
      <c r="C89" s="76"/>
      <c r="D89" s="76"/>
      <c r="E89" s="201"/>
      <c r="F89" s="203"/>
      <c r="G89" s="198" t="str">
        <f>IF(AJ30="","",FIXED(AJ30,2))</f>
        <v/>
      </c>
      <c r="H89" s="109"/>
      <c r="I89" s="109"/>
      <c r="J89" s="109"/>
      <c r="K89" s="109"/>
      <c r="L89" s="109"/>
      <c r="M89" s="109"/>
      <c r="N89" s="109"/>
      <c r="O89" s="109"/>
      <c r="P89" s="109"/>
      <c r="Q89" s="109"/>
      <c r="R89" s="109"/>
      <c r="S89" s="109"/>
      <c r="T89" s="109"/>
      <c r="U89" s="109"/>
      <c r="V89" s="109"/>
      <c r="W89" s="109"/>
      <c r="X89" s="109"/>
      <c r="Y89" s="109"/>
      <c r="Z89" s="109"/>
      <c r="AA89" s="109"/>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row>
    <row r="90" spans="1:60" ht="6.6" customHeight="1" x14ac:dyDescent="0.2">
      <c r="A90" s="76"/>
      <c r="B90" s="76"/>
      <c r="C90" s="76"/>
      <c r="D90" s="76"/>
      <c r="E90" s="200" t="s">
        <v>36</v>
      </c>
      <c r="F90" s="202" t="str">
        <f>IF(AI31="","",FIXED(AI31,2))</f>
        <v/>
      </c>
      <c r="G90" s="199"/>
      <c r="H90" s="109"/>
      <c r="I90" s="109"/>
      <c r="J90" s="109"/>
      <c r="K90" s="109"/>
      <c r="L90" s="109"/>
      <c r="M90" s="109"/>
      <c r="N90" s="109"/>
      <c r="O90" s="109"/>
      <c r="P90" s="109"/>
      <c r="Q90" s="109"/>
      <c r="R90" s="109"/>
      <c r="S90" s="109"/>
      <c r="T90" s="109"/>
      <c r="U90" s="109"/>
      <c r="V90" s="109"/>
      <c r="W90" s="109"/>
      <c r="X90" s="109"/>
      <c r="Y90" s="109"/>
      <c r="Z90" s="109"/>
      <c r="AA90" s="109"/>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row>
    <row r="91" spans="1:60" ht="6.6" customHeight="1" x14ac:dyDescent="0.2">
      <c r="A91" s="76"/>
      <c r="B91" s="76"/>
      <c r="C91" s="76"/>
      <c r="D91" s="76"/>
      <c r="E91" s="201"/>
      <c r="F91" s="203"/>
      <c r="G91" s="198" t="str">
        <f>IF(AJ32="","",FIXED(AJ32,2))</f>
        <v/>
      </c>
      <c r="H91" s="109"/>
      <c r="I91" s="109"/>
      <c r="J91" s="109"/>
      <c r="K91" s="109"/>
      <c r="L91" s="109"/>
      <c r="M91" s="109"/>
      <c r="N91" s="109"/>
      <c r="O91" s="109"/>
      <c r="P91" s="109"/>
      <c r="Q91" s="109"/>
      <c r="R91" s="109"/>
      <c r="S91" s="109"/>
      <c r="T91" s="109"/>
      <c r="U91" s="109"/>
      <c r="V91" s="109"/>
      <c r="W91" s="109"/>
      <c r="X91" s="109"/>
      <c r="Y91" s="109"/>
      <c r="Z91" s="109"/>
      <c r="AA91" s="109"/>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row>
    <row r="92" spans="1:60" ht="6.6" customHeight="1" x14ac:dyDescent="0.2">
      <c r="A92" s="76"/>
      <c r="B92" s="76"/>
      <c r="C92" s="76"/>
      <c r="D92" s="76"/>
      <c r="E92" s="200" t="s">
        <v>37</v>
      </c>
      <c r="F92" s="202" t="str">
        <f>IF(AI33="","",FIXED(AI33,2))</f>
        <v/>
      </c>
      <c r="G92" s="199"/>
      <c r="H92" s="109"/>
      <c r="I92" s="109"/>
      <c r="J92" s="109"/>
      <c r="K92" s="109"/>
      <c r="L92" s="109"/>
      <c r="M92" s="109"/>
      <c r="N92" s="109"/>
      <c r="O92" s="109"/>
      <c r="P92" s="109"/>
      <c r="Q92" s="109"/>
      <c r="R92" s="109"/>
      <c r="S92" s="109"/>
      <c r="T92" s="109"/>
      <c r="U92" s="109"/>
      <c r="V92" s="109"/>
      <c r="W92" s="109"/>
      <c r="X92" s="109"/>
      <c r="Y92" s="109"/>
      <c r="Z92" s="109"/>
      <c r="AA92" s="109"/>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row>
    <row r="93" spans="1:60" ht="6.6" customHeight="1" x14ac:dyDescent="0.2">
      <c r="A93" s="76"/>
      <c r="B93" s="76"/>
      <c r="C93" s="76"/>
      <c r="D93" s="76"/>
      <c r="E93" s="201"/>
      <c r="F93" s="203"/>
      <c r="G93" s="198" t="str">
        <f>IF(AJ34="","",FIXED(AJ34,2))</f>
        <v/>
      </c>
      <c r="H93" s="109"/>
      <c r="I93" s="109"/>
      <c r="J93" s="109"/>
      <c r="K93" s="109"/>
      <c r="L93" s="109"/>
      <c r="M93" s="109"/>
      <c r="N93" s="109"/>
      <c r="O93" s="109"/>
      <c r="P93" s="109"/>
      <c r="Q93" s="109"/>
      <c r="R93" s="109"/>
      <c r="S93" s="109"/>
      <c r="T93" s="109"/>
      <c r="U93" s="109"/>
      <c r="V93" s="109"/>
      <c r="W93" s="109"/>
      <c r="X93" s="109"/>
      <c r="Y93" s="109"/>
      <c r="Z93" s="109"/>
      <c r="AA93" s="109"/>
      <c r="AB93" s="76"/>
      <c r="AC93" s="76"/>
      <c r="AD93" s="83"/>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row>
    <row r="94" spans="1:60" ht="6.6" customHeight="1" x14ac:dyDescent="0.2">
      <c r="A94" s="76"/>
      <c r="B94" s="76"/>
      <c r="C94" s="76"/>
      <c r="D94" s="76"/>
      <c r="E94" s="200" t="s">
        <v>38</v>
      </c>
      <c r="F94" s="202" t="str">
        <f>IF(AI35="","",FIXED(AI35,2))</f>
        <v/>
      </c>
      <c r="G94" s="199"/>
      <c r="H94" s="109"/>
      <c r="I94" s="109"/>
      <c r="J94" s="109"/>
      <c r="K94" s="109"/>
      <c r="L94" s="109"/>
      <c r="M94" s="109"/>
      <c r="N94" s="109"/>
      <c r="O94" s="109"/>
      <c r="P94" s="109"/>
      <c r="Q94" s="109"/>
      <c r="R94" s="109"/>
      <c r="S94" s="109"/>
      <c r="T94" s="109"/>
      <c r="U94" s="109"/>
      <c r="V94" s="109"/>
      <c r="W94" s="109"/>
      <c r="X94" s="109"/>
      <c r="Y94" s="109"/>
      <c r="Z94" s="109"/>
      <c r="AA94" s="109"/>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row>
    <row r="95" spans="1:60" ht="6.6" customHeight="1" x14ac:dyDescent="0.2">
      <c r="A95" s="76"/>
      <c r="B95" s="76"/>
      <c r="C95" s="76"/>
      <c r="D95" s="76"/>
      <c r="E95" s="201"/>
      <c r="F95" s="203"/>
      <c r="G95" s="198" t="str">
        <f>IF(AJ36="","",FIXED(AJ36,2))</f>
        <v/>
      </c>
      <c r="H95" s="109"/>
      <c r="I95" s="109"/>
      <c r="J95" s="109"/>
      <c r="K95" s="109"/>
      <c r="L95" s="109"/>
      <c r="M95" s="109"/>
      <c r="N95" s="109"/>
      <c r="O95" s="109"/>
      <c r="P95" s="109"/>
      <c r="Q95" s="109"/>
      <c r="R95" s="109"/>
      <c r="S95" s="109"/>
      <c r="T95" s="109"/>
      <c r="U95" s="109"/>
      <c r="V95" s="109"/>
      <c r="W95" s="109"/>
      <c r="X95" s="109"/>
      <c r="Y95" s="109"/>
      <c r="Z95" s="109"/>
      <c r="AA95" s="109"/>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row>
    <row r="96" spans="1:60" ht="6.6" customHeight="1" x14ac:dyDescent="0.2">
      <c r="A96" s="76"/>
      <c r="B96" s="76"/>
      <c r="C96" s="76"/>
      <c r="D96" s="76"/>
      <c r="E96" s="200" t="s">
        <v>39</v>
      </c>
      <c r="F96" s="202" t="str">
        <f>IF(AI37="","",FIXED(AI37,2))</f>
        <v>25.00</v>
      </c>
      <c r="G96" s="199"/>
      <c r="H96" s="109"/>
      <c r="I96" s="109"/>
      <c r="J96" s="109"/>
      <c r="K96" s="109"/>
      <c r="L96" s="109"/>
      <c r="M96" s="109"/>
      <c r="N96" s="109"/>
      <c r="O96" s="109"/>
      <c r="P96" s="109"/>
      <c r="Q96" s="109"/>
      <c r="R96" s="109"/>
      <c r="S96" s="109"/>
      <c r="T96" s="109"/>
      <c r="U96" s="109"/>
      <c r="V96" s="109"/>
      <c r="W96" s="109"/>
      <c r="X96" s="109"/>
      <c r="Y96" s="109"/>
      <c r="Z96" s="109"/>
      <c r="AA96" s="109"/>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row>
    <row r="97" spans="1:60" ht="6.6" customHeight="1" x14ac:dyDescent="0.2">
      <c r="A97" s="76"/>
      <c r="B97" s="76"/>
      <c r="C97" s="76"/>
      <c r="D97" s="76"/>
      <c r="E97" s="201"/>
      <c r="F97" s="203"/>
      <c r="G97" s="198" t="str">
        <f>IF(AJ38="","",FIXED(AJ38,2))</f>
        <v>10.00</v>
      </c>
      <c r="H97" s="109"/>
      <c r="I97" s="109"/>
      <c r="J97" s="114"/>
      <c r="K97" s="114"/>
      <c r="L97" s="114"/>
      <c r="M97" s="114"/>
      <c r="N97" s="114"/>
      <c r="O97" s="114"/>
      <c r="P97" s="114"/>
      <c r="Q97" s="109"/>
      <c r="R97" s="114"/>
      <c r="S97" s="114"/>
      <c r="T97" s="114"/>
      <c r="U97" s="114"/>
      <c r="V97" s="114"/>
      <c r="W97" s="114"/>
      <c r="X97" s="114"/>
      <c r="Y97" s="114"/>
      <c r="Z97" s="114"/>
      <c r="AA97" s="114"/>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row>
    <row r="98" spans="1:60" ht="6.6" customHeight="1" x14ac:dyDescent="0.2">
      <c r="A98" s="76"/>
      <c r="B98" s="76"/>
      <c r="C98" s="76"/>
      <c r="D98" s="76"/>
      <c r="E98" s="200" t="s">
        <v>40</v>
      </c>
      <c r="F98" s="202" t="str">
        <f>IF(AI39="","",FIXED(AI39,2))</f>
        <v>15.00</v>
      </c>
      <c r="G98" s="199"/>
      <c r="H98" s="109"/>
      <c r="I98" s="109"/>
      <c r="J98" s="109"/>
      <c r="K98" s="109"/>
      <c r="L98" s="109"/>
      <c r="M98" s="109"/>
      <c r="N98" s="109"/>
      <c r="O98" s="109"/>
      <c r="P98" s="109"/>
      <c r="Q98" s="109"/>
      <c r="R98" s="109"/>
      <c r="S98" s="109"/>
      <c r="T98" s="109"/>
      <c r="U98" s="109"/>
      <c r="V98" s="109"/>
      <c r="W98" s="109"/>
      <c r="X98" s="109"/>
      <c r="Y98" s="109"/>
      <c r="Z98" s="109"/>
      <c r="AA98" s="109"/>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row>
    <row r="99" spans="1:60" ht="6.6" customHeight="1" x14ac:dyDescent="0.2">
      <c r="A99" s="76"/>
      <c r="B99" s="76"/>
      <c r="C99" s="76"/>
      <c r="D99" s="76"/>
      <c r="E99" s="201"/>
      <c r="F99" s="203"/>
      <c r="G99" s="198" t="str">
        <f>IF(AJ40="","",FIXED(AJ40,2))</f>
        <v>10.00</v>
      </c>
      <c r="H99" s="109"/>
      <c r="I99" s="109"/>
      <c r="J99" s="109"/>
      <c r="K99" s="109"/>
      <c r="L99" s="109"/>
      <c r="M99" s="109"/>
      <c r="N99" s="109"/>
      <c r="O99" s="109"/>
      <c r="P99" s="109"/>
      <c r="Q99" s="109"/>
      <c r="R99" s="109"/>
      <c r="S99" s="109"/>
      <c r="T99" s="109"/>
      <c r="U99" s="109"/>
      <c r="V99" s="109"/>
      <c r="W99" s="109"/>
      <c r="X99" s="109"/>
      <c r="Y99" s="109"/>
      <c r="Z99" s="109"/>
      <c r="AA99" s="109"/>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row>
    <row r="100" spans="1:60" ht="6.6" customHeight="1" x14ac:dyDescent="0.2">
      <c r="A100" s="76"/>
      <c r="B100" s="76"/>
      <c r="C100" s="76"/>
      <c r="D100" s="76"/>
      <c r="E100" s="200" t="s">
        <v>41</v>
      </c>
      <c r="F100" s="202" t="str">
        <f>IF(AI41="","",FIXED(AI41,2))</f>
        <v>5.00</v>
      </c>
      <c r="G100" s="199"/>
      <c r="H100" s="109"/>
      <c r="I100" s="109"/>
      <c r="J100" s="109"/>
      <c r="K100" s="109"/>
      <c r="L100" s="109"/>
      <c r="M100" s="109"/>
      <c r="N100" s="109"/>
      <c r="O100" s="109"/>
      <c r="P100" s="109"/>
      <c r="Q100" s="109"/>
      <c r="R100" s="109"/>
      <c r="S100" s="109"/>
      <c r="T100" s="109"/>
      <c r="U100" s="109"/>
      <c r="V100" s="109"/>
      <c r="W100" s="109"/>
      <c r="X100" s="109"/>
      <c r="Y100" s="109"/>
      <c r="Z100" s="109"/>
      <c r="AA100" s="109"/>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row>
    <row r="101" spans="1:60" ht="6.6" customHeight="1" x14ac:dyDescent="0.2">
      <c r="A101" s="76"/>
      <c r="B101" s="76"/>
      <c r="C101" s="76"/>
      <c r="D101" s="76"/>
      <c r="E101" s="201"/>
      <c r="F101" s="203"/>
      <c r="G101" s="198" t="str">
        <f>IF(AJ42="","",FIXED(AJ42,2))</f>
        <v>12.72</v>
      </c>
      <c r="H101" s="109"/>
      <c r="I101" s="109"/>
      <c r="J101" s="109"/>
      <c r="K101" s="109"/>
      <c r="L101" s="109"/>
      <c r="M101" s="114"/>
      <c r="N101" s="109"/>
      <c r="O101" s="109"/>
      <c r="P101" s="109"/>
      <c r="Q101" s="109"/>
      <c r="R101" s="109"/>
      <c r="S101" s="109"/>
      <c r="T101" s="109"/>
      <c r="U101" s="109"/>
      <c r="V101" s="109"/>
      <c r="W101" s="109"/>
      <c r="X101" s="109"/>
      <c r="Y101" s="109"/>
      <c r="Z101" s="109"/>
      <c r="AA101" s="109"/>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row>
    <row r="102" spans="1:60" ht="6.6" customHeight="1" x14ac:dyDescent="0.2">
      <c r="A102" s="76"/>
      <c r="B102" s="76"/>
      <c r="C102" s="76"/>
      <c r="D102" s="76"/>
      <c r="E102" s="200" t="s">
        <v>42</v>
      </c>
      <c r="F102" s="202" t="str">
        <f>IF(AI43="","",FIXED(AI43,2))</f>
        <v>-7.72</v>
      </c>
      <c r="G102" s="199"/>
      <c r="H102" s="109"/>
      <c r="I102" s="109"/>
      <c r="J102" s="109"/>
      <c r="K102" s="109"/>
      <c r="L102" s="109"/>
      <c r="M102" s="114"/>
      <c r="N102" s="109"/>
      <c r="O102" s="109"/>
      <c r="P102" s="109"/>
      <c r="Q102" s="109"/>
      <c r="R102" s="109"/>
      <c r="S102" s="109"/>
      <c r="T102" s="109"/>
      <c r="U102" s="109"/>
      <c r="V102" s="109"/>
      <c r="W102" s="109"/>
      <c r="X102" s="109"/>
      <c r="Y102" s="109"/>
      <c r="Z102" s="109"/>
      <c r="AA102" s="109"/>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row>
    <row r="103" spans="1:60" ht="6.6" customHeight="1" x14ac:dyDescent="0.2">
      <c r="A103" s="76"/>
      <c r="B103" s="76"/>
      <c r="C103" s="76"/>
      <c r="D103" s="76"/>
      <c r="E103" s="201"/>
      <c r="F103" s="203"/>
      <c r="G103" s="198" t="str">
        <f>IF(AJ44="","",FIXED(AJ44,2))</f>
        <v>8.86</v>
      </c>
      <c r="H103" s="109"/>
      <c r="I103" s="109"/>
      <c r="J103" s="109"/>
      <c r="K103" s="109"/>
      <c r="L103" s="109"/>
      <c r="M103" s="114"/>
      <c r="N103" s="109"/>
      <c r="O103" s="109"/>
      <c r="P103" s="109"/>
      <c r="Q103" s="109"/>
      <c r="R103" s="109"/>
      <c r="S103" s="109"/>
      <c r="T103" s="109"/>
      <c r="U103" s="109"/>
      <c r="V103" s="109"/>
      <c r="W103" s="109"/>
      <c r="X103" s="109"/>
      <c r="Y103" s="109"/>
      <c r="Z103" s="109"/>
      <c r="AA103" s="109"/>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row>
    <row r="104" spans="1:60" ht="6.6" customHeight="1" x14ac:dyDescent="0.2">
      <c r="A104" s="76"/>
      <c r="B104" s="76"/>
      <c r="C104" s="76"/>
      <c r="D104" s="76"/>
      <c r="E104" s="200" t="s">
        <v>43</v>
      </c>
      <c r="F104" s="202" t="str">
        <f>IF(AI45="","",FIXED(AI45,2))</f>
        <v>-16.57</v>
      </c>
      <c r="G104" s="199"/>
      <c r="H104" s="109"/>
      <c r="I104" s="109"/>
      <c r="J104" s="109"/>
      <c r="K104" s="109"/>
      <c r="L104" s="109"/>
      <c r="M104" s="109"/>
      <c r="N104" s="109"/>
      <c r="O104" s="109"/>
      <c r="P104" s="109"/>
      <c r="Q104" s="109"/>
      <c r="R104" s="109"/>
      <c r="S104" s="109"/>
      <c r="T104" s="109"/>
      <c r="U104" s="109"/>
      <c r="V104" s="109"/>
      <c r="W104" s="109"/>
      <c r="X104" s="109"/>
      <c r="Y104" s="109"/>
      <c r="Z104" s="109"/>
      <c r="AA104" s="109"/>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row>
    <row r="105" spans="1:60" ht="6.6" customHeight="1" x14ac:dyDescent="0.2">
      <c r="A105" s="76"/>
      <c r="B105" s="76"/>
      <c r="C105" s="76"/>
      <c r="D105" s="76"/>
      <c r="E105" s="201"/>
      <c r="F105" s="203"/>
      <c r="G105" s="198" t="str">
        <f>IF(AJ46="","",FIXED(AJ46,2))</f>
        <v>9.84</v>
      </c>
      <c r="H105" s="109"/>
      <c r="I105" s="109"/>
      <c r="J105" s="109"/>
      <c r="K105" s="109"/>
      <c r="L105" s="109"/>
      <c r="M105" s="109"/>
      <c r="N105" s="109"/>
      <c r="O105" s="109"/>
      <c r="P105" s="109"/>
      <c r="Q105" s="109"/>
      <c r="R105" s="109"/>
      <c r="S105" s="109"/>
      <c r="T105" s="109"/>
      <c r="U105" s="109"/>
      <c r="V105" s="109"/>
      <c r="W105" s="109"/>
      <c r="X105" s="109"/>
      <c r="Y105" s="109"/>
      <c r="Z105" s="109"/>
      <c r="AA105" s="109"/>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row>
    <row r="106" spans="1:60" ht="6.6" customHeight="1" x14ac:dyDescent="0.2">
      <c r="A106" s="76"/>
      <c r="B106" s="76"/>
      <c r="C106" s="76"/>
      <c r="D106" s="76"/>
      <c r="E106" s="200" t="s">
        <v>44</v>
      </c>
      <c r="F106" s="202" t="str">
        <f>IF(AI47="","",FIXED(AI47,2))</f>
        <v>-26.42</v>
      </c>
      <c r="G106" s="199"/>
      <c r="H106" s="109"/>
      <c r="I106" s="109"/>
      <c r="J106" s="109"/>
      <c r="K106" s="109"/>
      <c r="L106" s="109"/>
      <c r="M106" s="109"/>
      <c r="N106" s="109"/>
      <c r="O106" s="109"/>
      <c r="P106" s="109"/>
      <c r="Q106" s="109"/>
      <c r="R106" s="109"/>
      <c r="S106" s="109"/>
      <c r="T106" s="109"/>
      <c r="U106" s="109"/>
      <c r="V106" s="109"/>
      <c r="W106" s="109"/>
      <c r="X106" s="109"/>
      <c r="Y106" s="109"/>
      <c r="Z106" s="109"/>
      <c r="AA106" s="109"/>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row>
    <row r="107" spans="1:60" ht="6.6" customHeight="1" x14ac:dyDescent="0.2">
      <c r="A107" s="76"/>
      <c r="B107" s="76"/>
      <c r="C107" s="76"/>
      <c r="D107" s="76"/>
      <c r="E107" s="201"/>
      <c r="F107" s="203"/>
      <c r="G107" s="198" t="str">
        <f>IF(AJ48="","",FIXED(AJ48,2))</f>
        <v>10.94</v>
      </c>
      <c r="H107" s="109"/>
      <c r="I107" s="109"/>
      <c r="J107" s="109"/>
      <c r="K107" s="109"/>
      <c r="L107" s="109"/>
      <c r="M107" s="109"/>
      <c r="N107" s="109"/>
      <c r="O107" s="109"/>
      <c r="P107" s="109"/>
      <c r="Q107" s="109"/>
      <c r="R107" s="109"/>
      <c r="S107" s="109"/>
      <c r="T107" s="109"/>
      <c r="U107" s="109"/>
      <c r="V107" s="109"/>
      <c r="W107" s="109"/>
      <c r="X107" s="109"/>
      <c r="Y107" s="109"/>
      <c r="Z107" s="109"/>
      <c r="AA107" s="109"/>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row>
    <row r="108" spans="1:60" ht="6.6" customHeight="1" x14ac:dyDescent="0.2">
      <c r="A108" s="76"/>
      <c r="B108" s="76"/>
      <c r="C108" s="76"/>
      <c r="D108" s="76"/>
      <c r="E108" s="200" t="s">
        <v>45</v>
      </c>
      <c r="F108" s="202" t="str">
        <f>IF(AI49="","",FIXED(AI49,2))</f>
        <v>-37.35</v>
      </c>
      <c r="G108" s="199"/>
      <c r="H108" s="109"/>
      <c r="I108" s="109"/>
      <c r="J108" s="109"/>
      <c r="K108" s="109"/>
      <c r="L108" s="109"/>
      <c r="M108" s="109"/>
      <c r="N108" s="109"/>
      <c r="O108" s="109"/>
      <c r="P108" s="109"/>
      <c r="Q108" s="109"/>
      <c r="R108" s="109"/>
      <c r="S108" s="109"/>
      <c r="T108" s="109"/>
      <c r="U108" s="109"/>
      <c r="V108" s="109"/>
      <c r="W108" s="109"/>
      <c r="X108" s="109"/>
      <c r="Y108" s="109"/>
      <c r="Z108" s="109"/>
      <c r="AA108" s="109"/>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row>
    <row r="109" spans="1:60" ht="6.6" customHeight="1" x14ac:dyDescent="0.2">
      <c r="A109" s="76"/>
      <c r="B109" s="76"/>
      <c r="C109" s="76"/>
      <c r="D109" s="76"/>
      <c r="E109" s="201"/>
      <c r="F109" s="203"/>
      <c r="G109" s="198" t="str">
        <f>IF(AJ50="","",FIXED(AJ50,2))</f>
        <v>12.15</v>
      </c>
      <c r="H109" s="109"/>
      <c r="I109" s="109"/>
      <c r="J109" s="109"/>
      <c r="K109" s="109"/>
      <c r="L109" s="109"/>
      <c r="M109" s="109"/>
      <c r="N109" s="109"/>
      <c r="O109" s="109"/>
      <c r="P109" s="109"/>
      <c r="Q109" s="109"/>
      <c r="R109" s="109"/>
      <c r="S109" s="109"/>
      <c r="T109" s="109"/>
      <c r="U109" s="109"/>
      <c r="V109" s="109"/>
      <c r="W109" s="109"/>
      <c r="X109" s="109"/>
      <c r="Y109" s="109"/>
      <c r="Z109" s="109"/>
      <c r="AA109" s="109"/>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row>
    <row r="110" spans="1:60" ht="6.6" customHeight="1" x14ac:dyDescent="0.2">
      <c r="A110" s="76"/>
      <c r="B110" s="76"/>
      <c r="C110" s="76"/>
      <c r="D110" s="76"/>
      <c r="E110" s="200" t="s">
        <v>46</v>
      </c>
      <c r="F110" s="202" t="str">
        <f>IF(AI51="","",FIXED(AI51,2))</f>
        <v>-49.50</v>
      </c>
      <c r="G110" s="199"/>
      <c r="H110" s="109"/>
      <c r="I110" s="109"/>
      <c r="J110" s="109"/>
      <c r="K110" s="109"/>
      <c r="L110" s="109"/>
      <c r="M110" s="109"/>
      <c r="N110" s="109"/>
      <c r="O110" s="109"/>
      <c r="P110" s="109"/>
      <c r="Q110" s="109"/>
      <c r="R110" s="109"/>
      <c r="S110" s="109"/>
      <c r="T110" s="109"/>
      <c r="U110" s="109"/>
      <c r="V110" s="109"/>
      <c r="W110" s="109"/>
      <c r="X110" s="109"/>
      <c r="Y110" s="109"/>
      <c r="Z110" s="109"/>
      <c r="AA110" s="109"/>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row>
    <row r="111" spans="1:60" ht="6.6" customHeight="1" x14ac:dyDescent="0.2">
      <c r="A111" s="76"/>
      <c r="B111" s="76"/>
      <c r="C111" s="76"/>
      <c r="D111" s="76"/>
      <c r="E111" s="201"/>
      <c r="F111" s="203"/>
      <c r="G111" s="198" t="str">
        <f>IF(AJ52="","",FIXED(AJ52,2))</f>
        <v>13.50</v>
      </c>
      <c r="H111" s="109"/>
      <c r="I111" s="109"/>
      <c r="J111" s="109"/>
      <c r="K111" s="109"/>
      <c r="L111" s="109"/>
      <c r="M111" s="109"/>
      <c r="N111" s="109"/>
      <c r="O111" s="109"/>
      <c r="P111" s="109"/>
      <c r="Q111" s="109"/>
      <c r="R111" s="109"/>
      <c r="S111" s="109"/>
      <c r="T111" s="109"/>
      <c r="U111" s="109"/>
      <c r="V111" s="109"/>
      <c r="W111" s="109"/>
      <c r="X111" s="109"/>
      <c r="Y111" s="109"/>
      <c r="Z111" s="109"/>
      <c r="AA111" s="109"/>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row>
    <row r="112" spans="1:60" ht="6.6" customHeight="1" x14ac:dyDescent="0.2">
      <c r="A112" s="76"/>
      <c r="B112" s="76"/>
      <c r="C112" s="76"/>
      <c r="D112" s="76"/>
      <c r="E112" s="200" t="s">
        <v>26</v>
      </c>
      <c r="F112" s="202" t="str">
        <f>IF(AI53="","",FIXED(AI53,2))</f>
        <v>-63.00</v>
      </c>
      <c r="G112" s="199"/>
      <c r="H112" s="109"/>
      <c r="I112" s="109"/>
      <c r="J112" s="109"/>
      <c r="K112" s="109"/>
      <c r="L112" s="109"/>
      <c r="M112" s="109"/>
      <c r="N112" s="109"/>
      <c r="O112" s="109"/>
      <c r="P112" s="109"/>
      <c r="Q112" s="109"/>
      <c r="R112" s="109"/>
      <c r="S112" s="109"/>
      <c r="T112" s="109"/>
      <c r="U112" s="109"/>
      <c r="V112" s="109"/>
      <c r="W112" s="109"/>
      <c r="X112" s="109"/>
      <c r="Y112" s="109"/>
      <c r="Z112" s="109"/>
      <c r="AA112" s="109"/>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row>
    <row r="113" spans="1:60" ht="6.6" customHeight="1" x14ac:dyDescent="0.2">
      <c r="A113" s="76"/>
      <c r="B113" s="76"/>
      <c r="C113" s="76"/>
      <c r="D113" s="76"/>
      <c r="E113" s="201"/>
      <c r="F113" s="203"/>
      <c r="G113" s="198" t="str">
        <f>IF(AJ54="","",FIXED(AJ54,2))</f>
        <v>15.00</v>
      </c>
      <c r="H113" s="109"/>
      <c r="I113" s="109"/>
      <c r="J113" s="109"/>
      <c r="K113" s="109"/>
      <c r="L113" s="109"/>
      <c r="M113" s="109"/>
      <c r="N113" s="109"/>
      <c r="O113" s="109"/>
      <c r="P113" s="109"/>
      <c r="Q113" s="109"/>
      <c r="R113" s="109"/>
      <c r="S113" s="109"/>
      <c r="T113" s="109"/>
      <c r="U113" s="109"/>
      <c r="V113" s="109"/>
      <c r="W113" s="109"/>
      <c r="X113" s="109"/>
      <c r="Y113" s="109"/>
      <c r="Z113" s="109"/>
      <c r="AA113" s="109"/>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row>
    <row r="114" spans="1:60" ht="6.6" customHeight="1" x14ac:dyDescent="0.2">
      <c r="A114" s="76"/>
      <c r="B114" s="76"/>
      <c r="C114" s="76"/>
      <c r="D114" s="76"/>
      <c r="E114" s="200" t="s">
        <v>25</v>
      </c>
      <c r="F114" s="202" t="str">
        <f>IF(AI55="","",FIXED(AI55,2))</f>
        <v>-78.00</v>
      </c>
      <c r="G114" s="199"/>
      <c r="H114" s="109"/>
      <c r="I114" s="109"/>
      <c r="J114" s="109"/>
      <c r="K114" s="109"/>
      <c r="L114" s="109"/>
      <c r="M114" s="109"/>
      <c r="N114" s="109"/>
      <c r="O114" s="109"/>
      <c r="P114" s="109"/>
      <c r="Q114" s="109"/>
      <c r="R114" s="109"/>
      <c r="S114" s="109"/>
      <c r="T114" s="109"/>
      <c r="U114" s="109"/>
      <c r="V114" s="109"/>
      <c r="W114" s="109"/>
      <c r="X114" s="109"/>
      <c r="Y114" s="109"/>
      <c r="Z114" s="109"/>
      <c r="AA114" s="109"/>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row>
    <row r="115" spans="1:60" ht="6.6" customHeight="1" x14ac:dyDescent="0.2">
      <c r="A115" s="76"/>
      <c r="B115" s="76"/>
      <c r="C115" s="76"/>
      <c r="D115" s="76"/>
      <c r="E115" s="201"/>
      <c r="F115" s="203"/>
      <c r="G115" s="198" t="str">
        <f>IF(AJ56="","",FIXED(AJ56,2))</f>
        <v>5.00</v>
      </c>
      <c r="H115" s="109"/>
      <c r="I115" s="109"/>
      <c r="J115" s="109"/>
      <c r="K115" s="109"/>
      <c r="L115" s="109"/>
      <c r="M115" s="109"/>
      <c r="N115" s="109"/>
      <c r="O115" s="109"/>
      <c r="P115" s="109"/>
      <c r="Q115" s="109"/>
      <c r="R115" s="109"/>
      <c r="S115" s="109"/>
      <c r="T115" s="109"/>
      <c r="U115" s="109"/>
      <c r="V115" s="109"/>
      <c r="W115" s="109"/>
      <c r="X115" s="109"/>
      <c r="Y115" s="109"/>
      <c r="Z115" s="109"/>
      <c r="AA115" s="109"/>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row>
    <row r="116" spans="1:60" ht="6.6" customHeight="1" x14ac:dyDescent="0.2">
      <c r="A116" s="76"/>
      <c r="B116" s="76"/>
      <c r="C116" s="76"/>
      <c r="D116" s="76"/>
      <c r="E116" s="200" t="s">
        <v>148</v>
      </c>
      <c r="F116" s="202" t="str">
        <f>IF(AI57="","",FIXED(AI57,2))</f>
        <v>-83.00</v>
      </c>
      <c r="G116" s="199"/>
      <c r="H116" s="109"/>
      <c r="I116" s="109"/>
      <c r="J116" s="109"/>
      <c r="K116" s="109"/>
      <c r="L116" s="109"/>
      <c r="M116" s="109"/>
      <c r="N116" s="109"/>
      <c r="O116" s="109"/>
      <c r="P116" s="109"/>
      <c r="Q116" s="109"/>
      <c r="R116" s="109"/>
      <c r="S116" s="109"/>
      <c r="T116" s="109"/>
      <c r="U116" s="109"/>
      <c r="V116" s="109"/>
      <c r="W116" s="109"/>
      <c r="X116" s="109"/>
      <c r="Y116" s="109"/>
      <c r="Z116" s="109"/>
      <c r="AA116" s="109"/>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row>
    <row r="117" spans="1:60" ht="6.6" customHeight="1" x14ac:dyDescent="0.25">
      <c r="A117" s="76"/>
      <c r="B117" s="76"/>
      <c r="C117" s="76"/>
      <c r="D117" s="76"/>
      <c r="E117" s="201"/>
      <c r="F117" s="203"/>
      <c r="G117" s="82"/>
      <c r="H117" s="109"/>
      <c r="I117" s="109"/>
      <c r="J117" s="109"/>
      <c r="K117" s="109"/>
      <c r="L117" s="109"/>
      <c r="M117" s="109"/>
      <c r="N117" s="109"/>
      <c r="O117" s="109"/>
      <c r="P117" s="109"/>
      <c r="Q117" s="109"/>
      <c r="R117" s="109"/>
      <c r="S117" s="109"/>
      <c r="T117" s="109"/>
      <c r="U117" s="109"/>
      <c r="V117" s="109"/>
      <c r="W117" s="109"/>
      <c r="X117" s="109"/>
      <c r="Y117" s="109"/>
      <c r="Z117" s="109"/>
      <c r="AA117" s="109"/>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row>
    <row r="118" spans="1:60" x14ac:dyDescent="0.2">
      <c r="A118" s="76"/>
      <c r="B118" s="76"/>
      <c r="C118" s="76"/>
      <c r="D118" s="76"/>
      <c r="E118" s="119"/>
      <c r="F118" s="119"/>
      <c r="G118" s="93" t="s">
        <v>402</v>
      </c>
      <c r="H118" s="179" t="s">
        <v>414</v>
      </c>
      <c r="I118" s="197"/>
      <c r="J118" s="179" t="s">
        <v>411</v>
      </c>
      <c r="K118" s="197"/>
      <c r="L118" s="179" t="s">
        <v>415</v>
      </c>
      <c r="M118" s="197"/>
      <c r="N118" s="179" t="s">
        <v>363</v>
      </c>
      <c r="O118" s="197"/>
      <c r="P118" s="179" t="s">
        <v>364</v>
      </c>
      <c r="Q118" s="197"/>
      <c r="R118" s="179" t="s">
        <v>365</v>
      </c>
      <c r="S118" s="197"/>
      <c r="T118" s="179" t="str">
        <f>IF(AW119="",T69,CONCATENATE(T69," (",FIXED(AW119,2),")"))</f>
        <v>Y7</v>
      </c>
      <c r="U118" s="197"/>
      <c r="V118" s="179" t="str">
        <f>IF(AY119="",V69,CONCATENATE(V69," (",FIXED(AY119,2),")"))</f>
        <v>Y8</v>
      </c>
      <c r="W118" s="197"/>
      <c r="X118" s="179" t="str">
        <f>IF(BA119="",X69,CONCATENATE(X69," (",FIXED(BA119,2),")"))</f>
        <v>Y9</v>
      </c>
      <c r="Y118" s="197"/>
      <c r="Z118" s="179" t="str">
        <f>IF(BC119="",Z69,CONCATENATE(Z69," (",FIXED(BC119,2),")"))</f>
        <v>Y10</v>
      </c>
      <c r="AA118" s="197"/>
      <c r="AB118" s="76"/>
      <c r="AC118" s="76"/>
      <c r="AD118" s="76"/>
      <c r="AE118" s="76"/>
      <c r="AF118" s="76"/>
      <c r="AG118" s="76"/>
      <c r="AH118" s="76"/>
      <c r="AI118" s="76"/>
      <c r="AJ118" s="95" t="s">
        <v>152</v>
      </c>
      <c r="AK118" s="179" t="s">
        <v>6</v>
      </c>
      <c r="AL118" s="197"/>
      <c r="AM118" s="179" t="s">
        <v>7</v>
      </c>
      <c r="AN118" s="197"/>
      <c r="AO118" s="179" t="s">
        <v>8</v>
      </c>
      <c r="AP118" s="197"/>
      <c r="AQ118" s="179" t="s">
        <v>9</v>
      </c>
      <c r="AR118" s="197"/>
      <c r="AS118" s="179" t="s">
        <v>10</v>
      </c>
      <c r="AT118" s="197"/>
      <c r="AU118" s="179" t="s">
        <v>11</v>
      </c>
      <c r="AV118" s="197"/>
      <c r="AW118" s="179" t="s">
        <v>12</v>
      </c>
      <c r="AX118" s="197"/>
      <c r="AY118" s="179" t="s">
        <v>13</v>
      </c>
      <c r="AZ118" s="197"/>
      <c r="BA118" s="179" t="s">
        <v>14</v>
      </c>
      <c r="BB118" s="197"/>
      <c r="BC118" s="179" t="s">
        <v>157</v>
      </c>
      <c r="BD118" s="197"/>
      <c r="BE118" s="76"/>
      <c r="BF118" s="76"/>
      <c r="BG118" s="76"/>
      <c r="BH118" s="76"/>
    </row>
    <row r="119" spans="1:60" x14ac:dyDescent="0.2">
      <c r="A119" s="76"/>
      <c r="B119" s="76"/>
      <c r="C119" s="76"/>
      <c r="D119" s="76"/>
      <c r="E119" s="119"/>
      <c r="F119" s="119"/>
      <c r="G119" s="97" t="s">
        <v>156</v>
      </c>
      <c r="H119" s="195">
        <v>0</v>
      </c>
      <c r="I119" s="196"/>
      <c r="J119" s="195"/>
      <c r="K119" s="196"/>
      <c r="L119" s="195"/>
      <c r="M119" s="196"/>
      <c r="N119" s="195"/>
      <c r="O119" s="196"/>
      <c r="P119" s="195"/>
      <c r="Q119" s="196"/>
      <c r="R119" s="195"/>
      <c r="S119" s="196"/>
      <c r="T119" s="195"/>
      <c r="U119" s="196"/>
      <c r="V119" s="195"/>
      <c r="W119" s="196"/>
      <c r="X119" s="195"/>
      <c r="Y119" s="196"/>
      <c r="Z119" s="195"/>
      <c r="AA119" s="196"/>
      <c r="AB119" s="76"/>
      <c r="AC119" s="76"/>
      <c r="AD119" s="76"/>
      <c r="AE119" s="76"/>
      <c r="AF119" s="76"/>
      <c r="AG119" s="76"/>
      <c r="AH119" s="76"/>
      <c r="AI119" s="76"/>
      <c r="AJ119" s="98" t="s">
        <v>151</v>
      </c>
      <c r="AK119" s="237">
        <f>H119</f>
        <v>0</v>
      </c>
      <c r="AL119" s="236"/>
      <c r="AM119" s="208">
        <f>IF(J119="",IF(I120="","",AK119+I120),J119)</f>
        <v>25</v>
      </c>
      <c r="AN119" s="236"/>
      <c r="AO119" s="208">
        <f>IF(L119="",IF(K120="","",AM119+K120),L119)</f>
        <v>35</v>
      </c>
      <c r="AP119" s="236"/>
      <c r="AQ119" s="208" t="str">
        <f>IF(N119="",IF(M120="","",AO119+M120),N119)</f>
        <v/>
      </c>
      <c r="AR119" s="236"/>
      <c r="AS119" s="208" t="str">
        <f>IF(P119="",IF(O120="","",AQ119+O120),P119)</f>
        <v/>
      </c>
      <c r="AT119" s="236"/>
      <c r="AU119" s="208" t="str">
        <f>IF(R119="",IF(Q120="","",AS119+Q120),R119)</f>
        <v/>
      </c>
      <c r="AV119" s="236"/>
      <c r="AW119" s="208" t="str">
        <f>IF(T119="",IF(S120="","",AU119+S120),T119)</f>
        <v/>
      </c>
      <c r="AX119" s="236"/>
      <c r="AY119" s="208" t="str">
        <f>IF(V119="",IF(U120="","",AW119+U120),V119)</f>
        <v/>
      </c>
      <c r="AZ119" s="236"/>
      <c r="BA119" s="208" t="str">
        <f>IF(X119="",IF(W120="","",AY119+W120),X119)</f>
        <v/>
      </c>
      <c r="BB119" s="236"/>
      <c r="BC119" s="208" t="str">
        <f>IF(Z119="",IF(Y120="","",BA119+Y120),Z119)</f>
        <v/>
      </c>
      <c r="BD119" s="236"/>
      <c r="BE119" s="76"/>
      <c r="BF119" s="76"/>
      <c r="BG119" s="76"/>
      <c r="BH119" s="76"/>
    </row>
    <row r="120" spans="1:60" x14ac:dyDescent="0.2">
      <c r="A120" s="76"/>
      <c r="B120" s="76"/>
      <c r="C120" s="76"/>
      <c r="D120" s="76"/>
      <c r="E120" s="119"/>
      <c r="F120" s="119"/>
      <c r="G120" s="104" t="s">
        <v>149</v>
      </c>
      <c r="H120" s="118"/>
      <c r="I120" s="195">
        <v>25</v>
      </c>
      <c r="J120" s="196"/>
      <c r="K120" s="195">
        <v>10</v>
      </c>
      <c r="L120" s="196"/>
      <c r="M120" s="195"/>
      <c r="N120" s="196"/>
      <c r="O120" s="195"/>
      <c r="P120" s="196"/>
      <c r="Q120" s="195"/>
      <c r="R120" s="196"/>
      <c r="S120" s="80"/>
      <c r="T120" s="80"/>
      <c r="U120" s="195"/>
      <c r="V120" s="196"/>
      <c r="W120" s="195"/>
      <c r="X120" s="196"/>
      <c r="Y120" s="195"/>
      <c r="Z120" s="196"/>
      <c r="AA120" s="103"/>
      <c r="AB120" s="76"/>
      <c r="AC120" s="76"/>
      <c r="AD120" s="76"/>
      <c r="AE120" s="76"/>
      <c r="AF120" s="76"/>
      <c r="AG120" s="76"/>
      <c r="AH120" s="76"/>
      <c r="AI120" s="76"/>
      <c r="AJ120" s="104" t="s">
        <v>149</v>
      </c>
      <c r="AK120" s="93"/>
      <c r="AL120" s="208">
        <f>IF(J119="",IF(I120="","",I120),AM119-AK119)</f>
        <v>25</v>
      </c>
      <c r="AM120" s="209"/>
      <c r="AN120" s="208">
        <f>IF(L119="",IF(K120="","",K120),AO119-AM119)</f>
        <v>10</v>
      </c>
      <c r="AO120" s="209"/>
      <c r="AP120" s="208" t="str">
        <f>IF(N119="",IF(M120="","",M120),AQ119-AO119)</f>
        <v/>
      </c>
      <c r="AQ120" s="209"/>
      <c r="AR120" s="208" t="str">
        <f>IF(P119="",IF(O120="","",O120),AS119-AQ119)</f>
        <v/>
      </c>
      <c r="AS120" s="209"/>
      <c r="AT120" s="208" t="str">
        <f>IF(R119="",IF(Q120="","",Q120),AU119-AS119)</f>
        <v/>
      </c>
      <c r="AU120" s="209"/>
      <c r="AV120" s="208" t="str">
        <f>IF(T119="",IF(S120="","",S120),AW119-AU119)</f>
        <v/>
      </c>
      <c r="AW120" s="209"/>
      <c r="AX120" s="208" t="str">
        <f>IF(V119="",IF(U120="","",U120),AY119-AW119)</f>
        <v/>
      </c>
      <c r="AY120" s="209"/>
      <c r="AZ120" s="208" t="str">
        <f>IF(X119="",IF(W120="","",W120),BA119-AY119)</f>
        <v/>
      </c>
      <c r="BA120" s="209"/>
      <c r="BB120" s="208" t="str">
        <f>IF(Z119="",IF(Y120="","",Y120),BC119-BA119)</f>
        <v/>
      </c>
      <c r="BC120" s="209"/>
      <c r="BD120" s="103"/>
      <c r="BE120" s="76"/>
      <c r="BF120" s="76"/>
      <c r="BG120" s="76"/>
      <c r="BH120" s="76"/>
    </row>
    <row r="121" spans="1:60" x14ac:dyDescent="0.2">
      <c r="A121" s="76"/>
      <c r="B121" s="76"/>
      <c r="C121" s="76"/>
      <c r="D121" s="76"/>
      <c r="E121" s="83"/>
      <c r="F121" s="119"/>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row>
    <row r="122" spans="1:60" x14ac:dyDescent="0.2">
      <c r="A122" s="76"/>
      <c r="B122" s="76"/>
      <c r="C122" s="76"/>
      <c r="D122" s="76"/>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row>
    <row r="123" spans="1:60" s="76" customFormat="1" x14ac:dyDescent="0.2"/>
    <row r="124" spans="1:60" s="76" customFormat="1" x14ac:dyDescent="0.2"/>
    <row r="125" spans="1:60" s="76" customFormat="1" x14ac:dyDescent="0.2"/>
    <row r="126" spans="1:60" s="76" customFormat="1" x14ac:dyDescent="0.2"/>
    <row r="127" spans="1:60" s="76" customFormat="1" x14ac:dyDescent="0.2"/>
    <row r="128" spans="1:60" s="76" customFormat="1" x14ac:dyDescent="0.2"/>
    <row r="129" s="76" customFormat="1" x14ac:dyDescent="0.2"/>
    <row r="130" s="76" customFormat="1" x14ac:dyDescent="0.2"/>
    <row r="131" s="76" customFormat="1" x14ac:dyDescent="0.2"/>
    <row r="132" s="76" customFormat="1" x14ac:dyDescent="0.2"/>
    <row r="133" s="76" customFormat="1" x14ac:dyDescent="0.2"/>
    <row r="134" s="76" customFormat="1" x14ac:dyDescent="0.2"/>
    <row r="135" s="76" customFormat="1" x14ac:dyDescent="0.2"/>
    <row r="136" s="76" customFormat="1" x14ac:dyDescent="0.2"/>
    <row r="137" s="76" customFormat="1" x14ac:dyDescent="0.2"/>
    <row r="138" s="76" customFormat="1" x14ac:dyDescent="0.2"/>
    <row r="139" s="76" customFormat="1" x14ac:dyDescent="0.2"/>
    <row r="140" s="76" customFormat="1" x14ac:dyDescent="0.2"/>
    <row r="141" s="76" customFormat="1" x14ac:dyDescent="0.2"/>
    <row r="142" s="76" customFormat="1" x14ac:dyDescent="0.2"/>
    <row r="143" s="76" customFormat="1" x14ac:dyDescent="0.2"/>
    <row r="144" s="76" customFormat="1" x14ac:dyDescent="0.2"/>
    <row r="145" s="76" customFormat="1" x14ac:dyDescent="0.2"/>
    <row r="146" s="76" customFormat="1" x14ac:dyDescent="0.2"/>
    <row r="147" s="76" customFormat="1" x14ac:dyDescent="0.2"/>
    <row r="148" s="76" customFormat="1" x14ac:dyDescent="0.2"/>
    <row r="149" s="76" customFormat="1" x14ac:dyDescent="0.2"/>
    <row r="150" s="76" customFormat="1" x14ac:dyDescent="0.2"/>
    <row r="151" s="76" customFormat="1" x14ac:dyDescent="0.2"/>
    <row r="152" s="76" customFormat="1" x14ac:dyDescent="0.2"/>
    <row r="153" s="76" customFormat="1" x14ac:dyDescent="0.2"/>
    <row r="154" s="76" customFormat="1" x14ac:dyDescent="0.2"/>
    <row r="155" s="76" customFormat="1" x14ac:dyDescent="0.2"/>
    <row r="156" s="76" customFormat="1" x14ac:dyDescent="0.2"/>
    <row r="157" s="76" customFormat="1" x14ac:dyDescent="0.2"/>
    <row r="158" s="76" customFormat="1" x14ac:dyDescent="0.2"/>
    <row r="159" s="76" customFormat="1" x14ac:dyDescent="0.2"/>
    <row r="160" s="76" customFormat="1" x14ac:dyDescent="0.2"/>
    <row r="161" s="76" customFormat="1" x14ac:dyDescent="0.2"/>
    <row r="162" s="76" customFormat="1" x14ac:dyDescent="0.2"/>
    <row r="163" s="76" customFormat="1" x14ac:dyDescent="0.2"/>
    <row r="164" s="76" customFormat="1" x14ac:dyDescent="0.2"/>
    <row r="165" s="76" customFormat="1" x14ac:dyDescent="0.2"/>
    <row r="166" s="76" customFormat="1" x14ac:dyDescent="0.2"/>
    <row r="167" s="76" customFormat="1" x14ac:dyDescent="0.2"/>
    <row r="168" s="76" customFormat="1" x14ac:dyDescent="0.2"/>
  </sheetData>
  <sheetProtection password="F507" sheet="1" objects="1" scenarios="1"/>
  <protectedRanges>
    <protectedRange sqref="C3" name="Range3_1"/>
    <protectedRange sqref="G56:G57 F11:F53 G70:G116 F55:F61 F70:F120 G11:G54" name="Range1_1"/>
    <protectedRange sqref="AE45:AE50 AL120:BD120 AK60 AK66 C15:D20 H60 AL66:BD67 AK119:BD119 I68:Z68 AK7:AL7 AL8 AM7:BD8 AE19:AE36 AE97:AE109 AB66:AC67 H119 AL60:BD61 I119:AA120 H66:K66 C13:D13 AB7:AB8 AE68:AE95 C11:D11 C7:D9 H7:Z7 I9:Z9 AA7:AA9 I60:AA61 AA66:AA68 N66:Z66" name="Range2_1"/>
  </protectedRanges>
  <mergeCells count="550">
    <mergeCell ref="L7:M7"/>
    <mergeCell ref="N7:O7"/>
    <mergeCell ref="P7:Q7"/>
    <mergeCell ref="R7:S7"/>
    <mergeCell ref="AQ7:AR7"/>
    <mergeCell ref="T7:U7"/>
    <mergeCell ref="V7:W7"/>
    <mergeCell ref="X7:Y7"/>
    <mergeCell ref="Z7:AA7"/>
    <mergeCell ref="BA7:BB7"/>
    <mergeCell ref="BC7:BD7"/>
    <mergeCell ref="AS7:AT7"/>
    <mergeCell ref="AU7:AV7"/>
    <mergeCell ref="AW7:AX7"/>
    <mergeCell ref="AY7:AZ7"/>
    <mergeCell ref="Q9:R9"/>
    <mergeCell ref="U9:V9"/>
    <mergeCell ref="W9:X9"/>
    <mergeCell ref="Y9:Z9"/>
    <mergeCell ref="AN8:AO8"/>
    <mergeCell ref="AP8:AQ8"/>
    <mergeCell ref="AL8:AM8"/>
    <mergeCell ref="AS9:AT9"/>
    <mergeCell ref="AU9:AV9"/>
    <mergeCell ref="AW9:AX9"/>
    <mergeCell ref="AY9:AZ9"/>
    <mergeCell ref="AZ8:BA8"/>
    <mergeCell ref="BB8:BC8"/>
    <mergeCell ref="AR8:AS8"/>
    <mergeCell ref="AT8:AU8"/>
    <mergeCell ref="AV8:AW8"/>
    <mergeCell ref="AX8:AY8"/>
    <mergeCell ref="F15:F16"/>
    <mergeCell ref="B17:B18"/>
    <mergeCell ref="C17:C18"/>
    <mergeCell ref="E17:E18"/>
    <mergeCell ref="F17:F18"/>
    <mergeCell ref="BA9:BB9"/>
    <mergeCell ref="AK9:AL9"/>
    <mergeCell ref="AM9:AN9"/>
    <mergeCell ref="AO9:AP9"/>
    <mergeCell ref="AQ9:AR9"/>
    <mergeCell ref="B19:B20"/>
    <mergeCell ref="C19:C20"/>
    <mergeCell ref="E19:E20"/>
    <mergeCell ref="F19:F20"/>
    <mergeCell ref="B23:B24"/>
    <mergeCell ref="C23:C24"/>
    <mergeCell ref="E23:E24"/>
    <mergeCell ref="F23:F24"/>
    <mergeCell ref="B25:B26"/>
    <mergeCell ref="C25:C26"/>
    <mergeCell ref="E25:E26"/>
    <mergeCell ref="F25:F26"/>
    <mergeCell ref="B27:B28"/>
    <mergeCell ref="C27:C28"/>
    <mergeCell ref="E27:E28"/>
    <mergeCell ref="F27:F28"/>
    <mergeCell ref="B31:B32"/>
    <mergeCell ref="C31:C32"/>
    <mergeCell ref="E31:E32"/>
    <mergeCell ref="F31:F32"/>
    <mergeCell ref="B33:B34"/>
    <mergeCell ref="C33:C34"/>
    <mergeCell ref="E33:E34"/>
    <mergeCell ref="F33:F34"/>
    <mergeCell ref="B35:B36"/>
    <mergeCell ref="C35:C36"/>
    <mergeCell ref="E35:E36"/>
    <mergeCell ref="F35:F36"/>
    <mergeCell ref="B39:B40"/>
    <mergeCell ref="C39:C40"/>
    <mergeCell ref="E39:E40"/>
    <mergeCell ref="F39:F40"/>
    <mergeCell ref="B41:B42"/>
    <mergeCell ref="C41:C42"/>
    <mergeCell ref="E41:E42"/>
    <mergeCell ref="F41:F42"/>
    <mergeCell ref="B43:B44"/>
    <mergeCell ref="C43:C44"/>
    <mergeCell ref="E43:E44"/>
    <mergeCell ref="F43:F44"/>
    <mergeCell ref="B47:B48"/>
    <mergeCell ref="C47:C48"/>
    <mergeCell ref="E47:E48"/>
    <mergeCell ref="F47:F48"/>
    <mergeCell ref="B49:B50"/>
    <mergeCell ref="C49:C50"/>
    <mergeCell ref="E49:E50"/>
    <mergeCell ref="F49:F50"/>
    <mergeCell ref="B51:B52"/>
    <mergeCell ref="C51:C52"/>
    <mergeCell ref="E51:E52"/>
    <mergeCell ref="F51:F52"/>
    <mergeCell ref="B55:B56"/>
    <mergeCell ref="C55:C56"/>
    <mergeCell ref="E55:E56"/>
    <mergeCell ref="F55:F56"/>
    <mergeCell ref="AH55:AH56"/>
    <mergeCell ref="AI55:AI56"/>
    <mergeCell ref="G56:G57"/>
    <mergeCell ref="AJ56:AJ57"/>
    <mergeCell ref="AH57:AH58"/>
    <mergeCell ref="AI57:AI58"/>
    <mergeCell ref="AJ54:AJ55"/>
    <mergeCell ref="B57:B58"/>
    <mergeCell ref="C57:C58"/>
    <mergeCell ref="E57:E58"/>
    <mergeCell ref="F57:F58"/>
    <mergeCell ref="H60:I60"/>
    <mergeCell ref="J60:K60"/>
    <mergeCell ref="H59:I59"/>
    <mergeCell ref="J59:K59"/>
    <mergeCell ref="L60:M60"/>
    <mergeCell ref="N60:O60"/>
    <mergeCell ref="P60:Q60"/>
    <mergeCell ref="R60:S60"/>
    <mergeCell ref="T60:U60"/>
    <mergeCell ref="V60:W60"/>
    <mergeCell ref="X60:Y60"/>
    <mergeCell ref="Z60:AA60"/>
    <mergeCell ref="AK60:AL60"/>
    <mergeCell ref="AM60:AN60"/>
    <mergeCell ref="AO60:AP60"/>
    <mergeCell ref="AQ60:AR60"/>
    <mergeCell ref="AS60:AT60"/>
    <mergeCell ref="AU60:AV60"/>
    <mergeCell ref="AW60:AX60"/>
    <mergeCell ref="AY60:AZ60"/>
    <mergeCell ref="BA60:BB60"/>
    <mergeCell ref="BC60:BD60"/>
    <mergeCell ref="O61:P61"/>
    <mergeCell ref="Q61:R61"/>
    <mergeCell ref="U61:V61"/>
    <mergeCell ref="I61:J61"/>
    <mergeCell ref="K61:L61"/>
    <mergeCell ref="M61:N61"/>
    <mergeCell ref="BB61:BC61"/>
    <mergeCell ref="AN61:AO61"/>
    <mergeCell ref="AP61:AQ61"/>
    <mergeCell ref="AR61:AS61"/>
    <mergeCell ref="AT61:AU61"/>
    <mergeCell ref="T66:U66"/>
    <mergeCell ref="AV61:AW61"/>
    <mergeCell ref="AX61:AY61"/>
    <mergeCell ref="AZ61:BA61"/>
    <mergeCell ref="W61:X61"/>
    <mergeCell ref="Y61:Z61"/>
    <mergeCell ref="AL61:AM61"/>
    <mergeCell ref="AQ66:AR66"/>
    <mergeCell ref="AS66:AT66"/>
    <mergeCell ref="V66:W66"/>
    <mergeCell ref="L66:M66"/>
    <mergeCell ref="N66:O66"/>
    <mergeCell ref="P66:Q66"/>
    <mergeCell ref="R66:S66"/>
    <mergeCell ref="X66:Y66"/>
    <mergeCell ref="Z66:AA66"/>
    <mergeCell ref="AK66:AL66"/>
    <mergeCell ref="AX67:AY67"/>
    <mergeCell ref="AL67:AM67"/>
    <mergeCell ref="AN67:AO67"/>
    <mergeCell ref="AM66:AN66"/>
    <mergeCell ref="AO66:AP66"/>
    <mergeCell ref="AP67:AQ67"/>
    <mergeCell ref="AR67:AS67"/>
    <mergeCell ref="BC66:BD66"/>
    <mergeCell ref="AU66:AV66"/>
    <mergeCell ref="AW66:AX66"/>
    <mergeCell ref="AY66:AZ66"/>
    <mergeCell ref="BA66:BB66"/>
    <mergeCell ref="AT67:AU67"/>
    <mergeCell ref="AV67:AW67"/>
    <mergeCell ref="Y68:Z68"/>
    <mergeCell ref="I68:J68"/>
    <mergeCell ref="K68:L68"/>
    <mergeCell ref="M68:N68"/>
    <mergeCell ref="O68:P68"/>
    <mergeCell ref="Q68:R68"/>
    <mergeCell ref="U68:V68"/>
    <mergeCell ref="W68:X68"/>
    <mergeCell ref="H119:I119"/>
    <mergeCell ref="G115:G116"/>
    <mergeCell ref="E116:E117"/>
    <mergeCell ref="F116:F117"/>
    <mergeCell ref="H118:I118"/>
    <mergeCell ref="J119:K119"/>
    <mergeCell ref="E114:E115"/>
    <mergeCell ref="F114:F115"/>
    <mergeCell ref="J118:K118"/>
    <mergeCell ref="L119:M119"/>
    <mergeCell ref="N119:O119"/>
    <mergeCell ref="P119:Q119"/>
    <mergeCell ref="AM119:AN119"/>
    <mergeCell ref="AO119:AP119"/>
    <mergeCell ref="R119:S119"/>
    <mergeCell ref="T119:U119"/>
    <mergeCell ref="V119:W119"/>
    <mergeCell ref="X119:Y119"/>
    <mergeCell ref="Y120:Z120"/>
    <mergeCell ref="AY119:AZ119"/>
    <mergeCell ref="BA119:BB119"/>
    <mergeCell ref="BC119:BD119"/>
    <mergeCell ref="AQ119:AR119"/>
    <mergeCell ref="AS119:AT119"/>
    <mergeCell ref="AU119:AV119"/>
    <mergeCell ref="AW119:AX119"/>
    <mergeCell ref="Z119:AA119"/>
    <mergeCell ref="AK119:AL119"/>
    <mergeCell ref="BB120:BC120"/>
    <mergeCell ref="AL120:AM120"/>
    <mergeCell ref="AN120:AO120"/>
    <mergeCell ref="AP120:AQ120"/>
    <mergeCell ref="AR120:AS120"/>
    <mergeCell ref="AT120:AU120"/>
    <mergeCell ref="AV120:AW120"/>
    <mergeCell ref="AX120:AY120"/>
    <mergeCell ref="AZ120:BA120"/>
    <mergeCell ref="C3:E3"/>
    <mergeCell ref="E6:F7"/>
    <mergeCell ref="H6:I6"/>
    <mergeCell ref="J6:K6"/>
    <mergeCell ref="H7:I7"/>
    <mergeCell ref="J7:K7"/>
    <mergeCell ref="L6:M6"/>
    <mergeCell ref="N6:O6"/>
    <mergeCell ref="P6:Q6"/>
    <mergeCell ref="R6:S6"/>
    <mergeCell ref="T6:U6"/>
    <mergeCell ref="V6:W6"/>
    <mergeCell ref="BA6:BB6"/>
    <mergeCell ref="BC6:BD6"/>
    <mergeCell ref="X6:Y6"/>
    <mergeCell ref="Z6:AA6"/>
    <mergeCell ref="AK6:AL6"/>
    <mergeCell ref="AM6:AN6"/>
    <mergeCell ref="AO6:AP6"/>
    <mergeCell ref="AQ6:AR6"/>
    <mergeCell ref="Q8:R8"/>
    <mergeCell ref="U8:V8"/>
    <mergeCell ref="AS6:AT6"/>
    <mergeCell ref="AU6:AV6"/>
    <mergeCell ref="AW6:AX6"/>
    <mergeCell ref="AY6:AZ6"/>
    <mergeCell ref="AK7:AL7"/>
    <mergeCell ref="AM7:AN7"/>
    <mergeCell ref="AO7:AP7"/>
    <mergeCell ref="H11:I11"/>
    <mergeCell ref="J11:K11"/>
    <mergeCell ref="I8:J8"/>
    <mergeCell ref="K8:L8"/>
    <mergeCell ref="M8:N8"/>
    <mergeCell ref="O8:P8"/>
    <mergeCell ref="I9:J9"/>
    <mergeCell ref="K9:L9"/>
    <mergeCell ref="M9:N9"/>
    <mergeCell ref="O9:P9"/>
    <mergeCell ref="T11:U11"/>
    <mergeCell ref="V11:W11"/>
    <mergeCell ref="W8:X8"/>
    <mergeCell ref="Y8:Z8"/>
    <mergeCell ref="BC9:BD9"/>
    <mergeCell ref="B11:B12"/>
    <mergeCell ref="C11:C12"/>
    <mergeCell ref="D11:D12"/>
    <mergeCell ref="E11:E12"/>
    <mergeCell ref="F11:F12"/>
    <mergeCell ref="X11:Y11"/>
    <mergeCell ref="Z11:AA11"/>
    <mergeCell ref="AH11:AH12"/>
    <mergeCell ref="AI11:AI12"/>
    <mergeCell ref="G12:G13"/>
    <mergeCell ref="AJ12:AJ13"/>
    <mergeCell ref="L11:M11"/>
    <mergeCell ref="N11:O11"/>
    <mergeCell ref="P11:Q11"/>
    <mergeCell ref="R11:S11"/>
    <mergeCell ref="B13:B14"/>
    <mergeCell ref="C13:C14"/>
    <mergeCell ref="E13:E14"/>
    <mergeCell ref="F13:F14"/>
    <mergeCell ref="AH13:AH14"/>
    <mergeCell ref="AI13:AI14"/>
    <mergeCell ref="G14:G15"/>
    <mergeCell ref="B15:B16"/>
    <mergeCell ref="C15:C16"/>
    <mergeCell ref="E15:E16"/>
    <mergeCell ref="AJ14:AJ15"/>
    <mergeCell ref="AH15:AH16"/>
    <mergeCell ref="AI15:AI16"/>
    <mergeCell ref="G16:G17"/>
    <mergeCell ref="AJ16:AJ17"/>
    <mergeCell ref="AH17:AH18"/>
    <mergeCell ref="AI17:AI18"/>
    <mergeCell ref="G18:G19"/>
    <mergeCell ref="AJ18:AJ19"/>
    <mergeCell ref="AH19:AH20"/>
    <mergeCell ref="AI19:AI20"/>
    <mergeCell ref="G20:G21"/>
    <mergeCell ref="AJ20:AJ21"/>
    <mergeCell ref="B21:B22"/>
    <mergeCell ref="C21:C22"/>
    <mergeCell ref="E21:E22"/>
    <mergeCell ref="F21:F22"/>
    <mergeCell ref="AH21:AH22"/>
    <mergeCell ref="AI21:AI22"/>
    <mergeCell ref="G22:G23"/>
    <mergeCell ref="AJ22:AJ23"/>
    <mergeCell ref="AH23:AH24"/>
    <mergeCell ref="AI23:AI24"/>
    <mergeCell ref="G24:G25"/>
    <mergeCell ref="AJ24:AJ25"/>
    <mergeCell ref="AH25:AH26"/>
    <mergeCell ref="AI25:AI26"/>
    <mergeCell ref="G26:G27"/>
    <mergeCell ref="AJ26:AJ27"/>
    <mergeCell ref="AH27:AH28"/>
    <mergeCell ref="AI27:AI28"/>
    <mergeCell ref="G28:G29"/>
    <mergeCell ref="AJ28:AJ29"/>
    <mergeCell ref="B29:B30"/>
    <mergeCell ref="C29:C30"/>
    <mergeCell ref="E29:E30"/>
    <mergeCell ref="F29:F30"/>
    <mergeCell ref="AH29:AH30"/>
    <mergeCell ref="AI29:AI30"/>
    <mergeCell ref="G30:G31"/>
    <mergeCell ref="AJ30:AJ31"/>
    <mergeCell ref="AH31:AH32"/>
    <mergeCell ref="AI31:AI32"/>
    <mergeCell ref="G32:G33"/>
    <mergeCell ref="AJ32:AJ33"/>
    <mergeCell ref="AH33:AH34"/>
    <mergeCell ref="AI33:AI34"/>
    <mergeCell ref="G34:G35"/>
    <mergeCell ref="AJ34:AJ35"/>
    <mergeCell ref="AH35:AH36"/>
    <mergeCell ref="AI35:AI36"/>
    <mergeCell ref="G36:G37"/>
    <mergeCell ref="AJ36:AJ37"/>
    <mergeCell ref="B37:B38"/>
    <mergeCell ref="C37:C38"/>
    <mergeCell ref="E37:E38"/>
    <mergeCell ref="F37:F38"/>
    <mergeCell ref="AH37:AH38"/>
    <mergeCell ref="AI37:AI38"/>
    <mergeCell ref="G38:G39"/>
    <mergeCell ref="AJ38:AJ39"/>
    <mergeCell ref="AH39:AH40"/>
    <mergeCell ref="AI39:AI40"/>
    <mergeCell ref="G40:G41"/>
    <mergeCell ref="AJ40:AJ41"/>
    <mergeCell ref="AH41:AH42"/>
    <mergeCell ref="AI41:AI42"/>
    <mergeCell ref="G42:G43"/>
    <mergeCell ref="AJ42:AJ43"/>
    <mergeCell ref="AH43:AH44"/>
    <mergeCell ref="AI43:AI44"/>
    <mergeCell ref="G44:G45"/>
    <mergeCell ref="AJ44:AJ45"/>
    <mergeCell ref="B45:B46"/>
    <mergeCell ref="C45:C46"/>
    <mergeCell ref="E45:E46"/>
    <mergeCell ref="F45:F46"/>
    <mergeCell ref="AH45:AH46"/>
    <mergeCell ref="AI45:AI46"/>
    <mergeCell ref="G46:G47"/>
    <mergeCell ref="AJ46:AJ47"/>
    <mergeCell ref="AH47:AH48"/>
    <mergeCell ref="AI47:AI48"/>
    <mergeCell ref="G48:G49"/>
    <mergeCell ref="AJ48:AJ49"/>
    <mergeCell ref="AH49:AH50"/>
    <mergeCell ref="AI49:AI50"/>
    <mergeCell ref="G50:G51"/>
    <mergeCell ref="AJ50:AJ51"/>
    <mergeCell ref="AH51:AH52"/>
    <mergeCell ref="AI51:AI52"/>
    <mergeCell ref="G52:G53"/>
    <mergeCell ref="AJ52:AJ53"/>
    <mergeCell ref="B53:B54"/>
    <mergeCell ref="C53:C54"/>
    <mergeCell ref="E53:E54"/>
    <mergeCell ref="F53:F54"/>
    <mergeCell ref="AH53:AH54"/>
    <mergeCell ref="AI53:AI54"/>
    <mergeCell ref="G54:G55"/>
    <mergeCell ref="L59:M59"/>
    <mergeCell ref="N59:O59"/>
    <mergeCell ref="P59:Q59"/>
    <mergeCell ref="R59:S59"/>
    <mergeCell ref="T59:U59"/>
    <mergeCell ref="V59:W59"/>
    <mergeCell ref="X59:Y59"/>
    <mergeCell ref="Z59:AA59"/>
    <mergeCell ref="AK59:AL59"/>
    <mergeCell ref="AM59:AN59"/>
    <mergeCell ref="AO59:AP59"/>
    <mergeCell ref="AQ59:AR59"/>
    <mergeCell ref="AS59:AT59"/>
    <mergeCell ref="AU59:AV59"/>
    <mergeCell ref="AW59:AX59"/>
    <mergeCell ref="AY59:AZ59"/>
    <mergeCell ref="BA59:BB59"/>
    <mergeCell ref="BC59:BD59"/>
    <mergeCell ref="B65:B66"/>
    <mergeCell ref="E65:F66"/>
    <mergeCell ref="H65:I65"/>
    <mergeCell ref="J65:K65"/>
    <mergeCell ref="H66:I66"/>
    <mergeCell ref="J66:K66"/>
    <mergeCell ref="L65:M65"/>
    <mergeCell ref="N65:O65"/>
    <mergeCell ref="P65:Q65"/>
    <mergeCell ref="R65:S65"/>
    <mergeCell ref="T65:U65"/>
    <mergeCell ref="V65:W65"/>
    <mergeCell ref="X65:Y65"/>
    <mergeCell ref="Z65:AA65"/>
    <mergeCell ref="AK65:AL65"/>
    <mergeCell ref="AM65:AN65"/>
    <mergeCell ref="AO65:AP65"/>
    <mergeCell ref="AQ65:AR65"/>
    <mergeCell ref="AS65:AT65"/>
    <mergeCell ref="AU65:AV65"/>
    <mergeCell ref="AW65:AX65"/>
    <mergeCell ref="AY65:AZ65"/>
    <mergeCell ref="BA65:BB65"/>
    <mergeCell ref="BC65:BD65"/>
    <mergeCell ref="I67:J67"/>
    <mergeCell ref="K67:L67"/>
    <mergeCell ref="M67:N67"/>
    <mergeCell ref="O67:P67"/>
    <mergeCell ref="Q67:R67"/>
    <mergeCell ref="U67:V67"/>
    <mergeCell ref="W67:X67"/>
    <mergeCell ref="Y67:Z67"/>
    <mergeCell ref="AZ67:BA67"/>
    <mergeCell ref="BB67:BC67"/>
    <mergeCell ref="AK68:AL68"/>
    <mergeCell ref="AM68:AN68"/>
    <mergeCell ref="AO68:AP68"/>
    <mergeCell ref="AQ68:AR68"/>
    <mergeCell ref="AS68:AT68"/>
    <mergeCell ref="AU68:AV68"/>
    <mergeCell ref="AW68:AX68"/>
    <mergeCell ref="AY68:AZ68"/>
    <mergeCell ref="BA68:BB68"/>
    <mergeCell ref="BC68:BD68"/>
    <mergeCell ref="H69:I69"/>
    <mergeCell ref="J69:K69"/>
    <mergeCell ref="L69:M69"/>
    <mergeCell ref="N69:O69"/>
    <mergeCell ref="P69:Q69"/>
    <mergeCell ref="R69:S69"/>
    <mergeCell ref="T69:U69"/>
    <mergeCell ref="V69:W69"/>
    <mergeCell ref="X69:Y69"/>
    <mergeCell ref="Z69:AA69"/>
    <mergeCell ref="E70:E71"/>
    <mergeCell ref="F70:F71"/>
    <mergeCell ref="G71:G72"/>
    <mergeCell ref="E72:E73"/>
    <mergeCell ref="F72:F73"/>
    <mergeCell ref="G73:G74"/>
    <mergeCell ref="E74:E75"/>
    <mergeCell ref="F74:F75"/>
    <mergeCell ref="G75:G76"/>
    <mergeCell ref="E76:E77"/>
    <mergeCell ref="F76:F77"/>
    <mergeCell ref="G77:G78"/>
    <mergeCell ref="E78:E79"/>
    <mergeCell ref="F78:F79"/>
    <mergeCell ref="G79:G80"/>
    <mergeCell ref="E80:E81"/>
    <mergeCell ref="F80:F81"/>
    <mergeCell ref="G81:G82"/>
    <mergeCell ref="E82:E83"/>
    <mergeCell ref="F82:F83"/>
    <mergeCell ref="G83:G84"/>
    <mergeCell ref="E84:E85"/>
    <mergeCell ref="F84:F85"/>
    <mergeCell ref="G85:G86"/>
    <mergeCell ref="E86:E87"/>
    <mergeCell ref="F86:F87"/>
    <mergeCell ref="G87:G88"/>
    <mergeCell ref="E88:E89"/>
    <mergeCell ref="F88:F89"/>
    <mergeCell ref="G89:G90"/>
    <mergeCell ref="E90:E91"/>
    <mergeCell ref="F90:F91"/>
    <mergeCell ref="G91:G92"/>
    <mergeCell ref="E92:E93"/>
    <mergeCell ref="F92:F93"/>
    <mergeCell ref="G93:G94"/>
    <mergeCell ref="E94:E95"/>
    <mergeCell ref="F94:F95"/>
    <mergeCell ref="G95:G96"/>
    <mergeCell ref="E96:E97"/>
    <mergeCell ref="F96:F97"/>
    <mergeCell ref="G97:G98"/>
    <mergeCell ref="E98:E99"/>
    <mergeCell ref="F98:F99"/>
    <mergeCell ref="G99:G100"/>
    <mergeCell ref="E100:E101"/>
    <mergeCell ref="F100:F101"/>
    <mergeCell ref="G101:G102"/>
    <mergeCell ref="E102:E103"/>
    <mergeCell ref="F102:F103"/>
    <mergeCell ref="G103:G104"/>
    <mergeCell ref="E104:E105"/>
    <mergeCell ref="F104:F105"/>
    <mergeCell ref="G105:G106"/>
    <mergeCell ref="E106:E107"/>
    <mergeCell ref="F106:F107"/>
    <mergeCell ref="G107:G108"/>
    <mergeCell ref="E108:E109"/>
    <mergeCell ref="F108:F109"/>
    <mergeCell ref="G109:G110"/>
    <mergeCell ref="E110:E111"/>
    <mergeCell ref="F110:F111"/>
    <mergeCell ref="G111:G112"/>
    <mergeCell ref="E112:E113"/>
    <mergeCell ref="F112:F113"/>
    <mergeCell ref="G113:G114"/>
    <mergeCell ref="L118:M118"/>
    <mergeCell ref="N118:O118"/>
    <mergeCell ref="P118:Q118"/>
    <mergeCell ref="R118:S118"/>
    <mergeCell ref="T118:U118"/>
    <mergeCell ref="V118:W118"/>
    <mergeCell ref="X118:Y118"/>
    <mergeCell ref="Z118:AA118"/>
    <mergeCell ref="AK118:AL118"/>
    <mergeCell ref="AM118:AN118"/>
    <mergeCell ref="AO118:AP118"/>
    <mergeCell ref="AQ118:AR118"/>
    <mergeCell ref="AS118:AT118"/>
    <mergeCell ref="AU118:AV118"/>
    <mergeCell ref="AW118:AX118"/>
    <mergeCell ref="AY118:AZ118"/>
    <mergeCell ref="BA118:BB118"/>
    <mergeCell ref="BC118:BD118"/>
    <mergeCell ref="W120:X120"/>
    <mergeCell ref="I120:J120"/>
    <mergeCell ref="K120:L120"/>
    <mergeCell ref="M120:N120"/>
    <mergeCell ref="O120:P120"/>
    <mergeCell ref="Q120:R120"/>
    <mergeCell ref="U120:V120"/>
  </mergeCells>
  <phoneticPr fontId="2" type="noConversion"/>
  <conditionalFormatting sqref="F45">
    <cfRule type="expression" dxfId="0" priority="1" stopIfTrue="1">
      <formula>"$D$44="""""</formula>
    </cfRule>
  </conditionalFormatting>
  <dataValidations count="32">
    <dataValidation allowBlank="1" showInputMessage="1" showErrorMessage="1" promptTitle="X-coordinate at top of leg" prompt="Distance in X direction from datum point to top of leg. Give either the X-coordinate or the spacings between the legs, not both." sqref="AB65:AC65 Z69 T11:V11 X11:Z11 AB6 AK6:AM6 AO6:AQ6 AS6:AU6 AW6:AY6 BA6:BC6 AW59:AY59 V69 BA59:BC59 AK59:AM59 AO59:AQ59 AS59:AU59"/>
    <dataValidation allowBlank="1" showInputMessage="1" showErrorMessage="1" promptTitle="Z-elevation of horizontal frame" prompt="Give either the Z-elevation or the spacings between the horizontal frames, not both." sqref="F69"/>
    <dataValidation allowBlank="1" showInputMessage="1" showErrorMessage="1" promptTitle="Spacing between elevations" prompt="Spacing between this elevation and the one below. Give either the Z-elevation or the spacings between the horizontal frames, not both." sqref="G69"/>
    <dataValidation allowBlank="1" showInputMessage="1" showErrorMessage="1" promptTitle="Braces" prompt="Braces between this leg and previous:_x000a_No for no brace_x000a_X for X-brace_x000a_K for K-brace_x000a_/  for diagonal up_x000a_\  for diagonal down" sqref="G9 G68"/>
    <dataValidation type="decimal" allowBlank="1" showInputMessage="1" showErrorMessage="1" sqref="P1">
      <formula1>-1000</formula1>
      <formula2>10000</formula2>
    </dataValidation>
    <dataValidation type="whole" allowBlank="1" showInputMessage="1" showErrorMessage="1" sqref="Q1">
      <formula1>5</formula1>
      <formula2>10</formula2>
    </dataValidation>
    <dataValidation allowBlank="1" showInputMessage="1" showErrorMessage="1" promptTitle="X-coordinate at top of leg" prompt="Distance in X direction from datum point to top of leg. Give either the X-coordinate or the spacings between the legs, not both._x000a_Number shown in ( ) is resulting X-coordinate._x000a_Alternatively Leg batter may be given as X/Z." sqref="H6:AA6 H65:AA65"/>
    <dataValidation allowBlank="1" showInputMessage="1" showErrorMessage="1" promptTitle="Y-coordinate at top of leg" prompt="Distance in Y direction from datum point to top of leg. Give either the Y-coordinate or the spacings between the legs, not both._x000a_Number shown in ( ) is resulting Y-coordinate._x000a_Alternatively Leg batter may be given as Y/Z." sqref="AK65:BD65"/>
    <dataValidation allowBlank="1" showInputMessage="1" showErrorMessage="1" promptTitle="Y-coordinate at bottom of leg" prompt="Distance in Y direction from datum point to bottom of leg. Give either the Y-coordinate or the spacings between the legs, not both._x000a_Number shown in ( ) is resulting Y-coordinate._x000a_" sqref="AK118:BD118 H118:AA118"/>
    <dataValidation allowBlank="1" showInputMessage="1" showErrorMessage="1" promptTitle="X-coordinate at bottom of leg" prompt="Distance in X direction from datum point to bottom of leg. Give either the X-coordinate or the spacings between the legs, not both._x000a_Number shown in ( ) is resulting X-coordinate." sqref="H59:AA59"/>
    <dataValidation type="list" allowBlank="1" showInputMessage="1" showErrorMessage="1" sqref="I9:AA9 I68:AA68">
      <formula1>$D$185:$D$189</formula1>
    </dataValidation>
    <dataValidation type="list" allowBlank="1" showInputMessage="1" showErrorMessage="1" sqref="C13 C15:C16 AE97:AE100 C11">
      <formula1>$F$185:$F$212</formula1>
    </dataValidation>
    <dataValidation type="list" allowBlank="1" showInputMessage="1" showErrorMessage="1" sqref="C7">
      <formula1>$I$185:$I$197</formula1>
    </dataValidation>
    <dataValidation type="list" allowBlank="1" showInputMessage="1" showErrorMessage="1" sqref="G7">
      <formula1>$D$195:$D$196</formula1>
    </dataValidation>
    <dataValidation type="list" allowBlank="1" showInputMessage="1" showErrorMessage="1" sqref="G66">
      <formula1>$D$196:$D$197</formula1>
    </dataValidation>
    <dataValidation allowBlank="1" showInputMessage="1" showErrorMessage="1" promptTitle="Z-elevation of horizontal frame" prompt="Give either the Z-elevation or the spacing between the horizontal frames, not both." sqref="F10"/>
    <dataValidation allowBlank="1" showInputMessage="1" showErrorMessage="1" promptTitle="Spacing between elevations" prompt="Give either the Z-elevation or the spacing between the horizontal frames, not both." sqref="G10"/>
    <dataValidation type="list" allowBlank="1" showInputMessage="1" showErrorMessage="1" sqref="C25:C26">
      <formula1>$M$185:$M$189</formula1>
    </dataValidation>
    <dataValidation type="list" allowBlank="1" showInputMessage="1" showErrorMessage="1" sqref="C27:C28">
      <formula1>$Q$185:$Q$188</formula1>
    </dataValidation>
    <dataValidation type="list" allowBlank="1" showInputMessage="1" showErrorMessage="1" sqref="C29:C30">
      <formula1>$U$185:$U$186</formula1>
    </dataValidation>
    <dataValidation allowBlank="1" showInputMessage="1" showErrorMessage="1" promptTitle="Section for diagonal braces" prompt="The pulldown list of sections is taken from the table on the General sheet. Add relevant sections to this table" sqref="B15:B16"/>
    <dataValidation allowBlank="1" showInputMessage="1" showErrorMessage="1" promptTitle="Section for horizontal braces" prompt="The pulldown list of sections is taken from the table on the General sheet. Add relevant sections to this table" sqref="B13:B14"/>
    <dataValidation allowBlank="1" showInputMessage="1" showErrorMessage="1" promptTitle="Cross section for legs" prompt="The pulldown list of sections is taken from the table on the General sheet. Add relevant sections to this table" sqref="B11:B12"/>
    <dataValidation allowBlank="1" showInputMessage="1" showErrorMessage="1" promptTitle="Material properties" prompt="The pulldown list of materials is taken from the table on the General sheet. Add relevant materials to this table" sqref="B7:B8"/>
    <dataValidation type="custom" allowBlank="1" showInputMessage="1" showErrorMessage="1" errorTitle="Elevation_spacing" error="Enter the elevation or the spacing between elevations and leave the other cell blank._x000a_" sqref="F11:F41 F43 F45 F47 F49:F56">
      <formula1>(G12="")</formula1>
    </dataValidation>
    <dataValidation type="custom" allowBlank="1" showInputMessage="1" showErrorMessage="1" errorTitle="Elevation_spacing" error="Enter the elevation or the spacing between elevations and leave the other cell blank._x000a_" sqref="G42 G12:G38 G40 G44:G57">
      <formula1>(F11="")</formula1>
    </dataValidation>
    <dataValidation type="custom" allowBlank="1" showInputMessage="1" showErrorMessage="1" errorTitle="Coord_spacing" error="Enter the leg coordinate or the spacing between legs and leave the other cell blank._x000a_" sqref="J60:AA60 N66:AA66 J119:AA119 J66:K66 J7:AA7">
      <formula1>(I8="")</formula1>
    </dataValidation>
    <dataValidation type="custom" allowBlank="1" showInputMessage="1" showErrorMessage="1" errorTitle="Coord_spacing" error="Enter the leg coordinate or the spacing between legs and leave the other cell blank._x000a_" sqref="I120:Z120 I67:Z67 I8:Z8 M61:Z61">
      <formula1>(J7="")</formula1>
    </dataValidation>
    <dataValidation allowBlank="1" showInputMessage="1" showErrorMessage="1" errorTitle="Coord_spacing" error="Enter the leg coordinate or the spacing between legs and leave the other cell blank._x000a_" sqref="H7:I7 H66:I66 H119:I119"/>
    <dataValidation allowBlank="1" showInputMessage="1" showErrorMessage="1" promptTitle="Spacing between the legs" prompt="Give either the leg coordinate or the spacing between the legs, not both." sqref="G8 G61 G67"/>
    <dataValidation allowBlank="1" showInputMessage="1" showErrorMessage="1" promptTitle="Top coordinates / leg batter" prompt="Toggels between coordinate in top of leg or leg batter as input" sqref="G2:H2 H3"/>
    <dataValidation type="custom" allowBlank="1" showInputMessage="1" showErrorMessage="1" errorTitle="Elevation_spacing" error="Enter the elevation or the spacing between elevations and leave the other cell blank._x000a_" sqref="F57:F58">
      <formula1>(G56="")</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251" r:id="rId4" name="HelpButton">
          <controlPr defaultSize="0" autoLine="0" autoPict="0" r:id="rId5">
            <anchor moveWithCells="1">
              <from>
                <xdr:col>15</xdr:col>
                <xdr:colOff>161925</xdr:colOff>
                <xdr:row>2</xdr:row>
                <xdr:rowOff>142875</xdr:rowOff>
              </from>
              <to>
                <xdr:col>18</xdr:col>
                <xdr:colOff>190500</xdr:colOff>
                <xdr:row>4</xdr:row>
                <xdr:rowOff>47625</xdr:rowOff>
              </to>
            </anchor>
          </controlPr>
        </control>
      </mc:Choice>
      <mc:Fallback>
        <control shapeId="10251" r:id="rId4" name="HelpButt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I416"/>
  <sheetViews>
    <sheetView showRowColHeaders="0" workbookViewId="0">
      <selection activeCell="C5" sqref="C5"/>
    </sheetView>
  </sheetViews>
  <sheetFormatPr defaultRowHeight="12.75" x14ac:dyDescent="0.2"/>
  <cols>
    <col min="1" max="1" width="6.140625" style="48" customWidth="1"/>
    <col min="2" max="2" width="10" style="48" bestFit="1" customWidth="1"/>
    <col min="3" max="3" width="52.5703125" style="48" customWidth="1"/>
    <col min="4" max="4" width="9.140625" style="48"/>
    <col min="5" max="5" width="10.85546875" style="48" bestFit="1" customWidth="1"/>
    <col min="6" max="6" width="10.7109375" style="48" bestFit="1" customWidth="1"/>
    <col min="7" max="7" width="10.5703125" style="48" customWidth="1"/>
    <col min="8" max="16384" width="9.140625" style="48"/>
  </cols>
  <sheetData>
    <row r="3" spans="2:3" ht="15" x14ac:dyDescent="0.2">
      <c r="C3" s="79" t="s">
        <v>352</v>
      </c>
    </row>
    <row r="4" spans="2:3" x14ac:dyDescent="0.2">
      <c r="C4" s="78" t="s">
        <v>528</v>
      </c>
    </row>
    <row r="7" spans="2:3" s="69" customFormat="1" ht="15.75" x14ac:dyDescent="0.25">
      <c r="C7" s="70" t="s">
        <v>347</v>
      </c>
    </row>
    <row r="10" spans="2:3" x14ac:dyDescent="0.2">
      <c r="B10" s="56" t="s">
        <v>105</v>
      </c>
      <c r="C10" s="57" t="s">
        <v>59</v>
      </c>
    </row>
    <row r="11" spans="2:3" x14ac:dyDescent="0.2">
      <c r="B11" s="54" t="s">
        <v>425</v>
      </c>
      <c r="C11" s="54" t="s">
        <v>426</v>
      </c>
    </row>
    <row r="12" spans="2:3" x14ac:dyDescent="0.2">
      <c r="B12" s="54" t="s">
        <v>431</v>
      </c>
      <c r="C12" s="54" t="s">
        <v>427</v>
      </c>
    </row>
    <row r="13" spans="2:3" x14ac:dyDescent="0.2">
      <c r="B13" s="54" t="s">
        <v>432</v>
      </c>
      <c r="C13" s="54" t="s">
        <v>428</v>
      </c>
    </row>
    <row r="14" spans="2:3" x14ac:dyDescent="0.2">
      <c r="B14" s="54" t="s">
        <v>433</v>
      </c>
      <c r="C14" s="54" t="s">
        <v>429</v>
      </c>
    </row>
    <row r="15" spans="2:3" x14ac:dyDescent="0.2">
      <c r="B15" s="54" t="s">
        <v>434</v>
      </c>
      <c r="C15" s="54" t="s">
        <v>430</v>
      </c>
    </row>
    <row r="16" spans="2:3" x14ac:dyDescent="0.2">
      <c r="B16" s="54" t="s">
        <v>435</v>
      </c>
      <c r="C16" s="54" t="s">
        <v>437</v>
      </c>
    </row>
    <row r="17" spans="2:3" x14ac:dyDescent="0.2">
      <c r="B17" s="54" t="s">
        <v>436</v>
      </c>
      <c r="C17" s="54" t="s">
        <v>439</v>
      </c>
    </row>
    <row r="18" spans="2:3" x14ac:dyDescent="0.2">
      <c r="B18" s="54" t="s">
        <v>441</v>
      </c>
      <c r="C18" s="54" t="s">
        <v>442</v>
      </c>
    </row>
    <row r="19" spans="2:3" x14ac:dyDescent="0.2">
      <c r="B19" s="54" t="s">
        <v>438</v>
      </c>
      <c r="C19" s="54" t="s">
        <v>440</v>
      </c>
    </row>
    <row r="20" spans="2:3" x14ac:dyDescent="0.2">
      <c r="B20" s="122" t="s">
        <v>51</v>
      </c>
      <c r="C20" s="122" t="s">
        <v>51</v>
      </c>
    </row>
    <row r="21" spans="2:3" x14ac:dyDescent="0.2">
      <c r="B21" s="54" t="s">
        <v>420</v>
      </c>
      <c r="C21" s="54" t="s">
        <v>448</v>
      </c>
    </row>
    <row r="22" spans="2:3" x14ac:dyDescent="0.2">
      <c r="B22" s="54" t="s">
        <v>421</v>
      </c>
      <c r="C22" s="54" t="s">
        <v>449</v>
      </c>
    </row>
    <row r="23" spans="2:3" x14ac:dyDescent="0.2">
      <c r="B23" s="54" t="s">
        <v>422</v>
      </c>
      <c r="C23" s="54" t="s">
        <v>450</v>
      </c>
    </row>
    <row r="24" spans="2:3" x14ac:dyDescent="0.2">
      <c r="B24" s="54" t="s">
        <v>423</v>
      </c>
      <c r="C24" s="54" t="s">
        <v>451</v>
      </c>
    </row>
    <row r="25" spans="2:3" x14ac:dyDescent="0.2">
      <c r="B25" s="54" t="s">
        <v>424</v>
      </c>
      <c r="C25" s="54" t="s">
        <v>452</v>
      </c>
    </row>
    <row r="26" spans="2:3" x14ac:dyDescent="0.2">
      <c r="B26" s="54" t="s">
        <v>418</v>
      </c>
      <c r="C26" s="54" t="s">
        <v>419</v>
      </c>
    </row>
    <row r="27" spans="2:3" x14ac:dyDescent="0.2">
      <c r="B27" s="54"/>
      <c r="C27" s="54"/>
    </row>
    <row r="28" spans="2:3" x14ac:dyDescent="0.2">
      <c r="B28" s="54"/>
      <c r="C28" s="54"/>
    </row>
    <row r="29" spans="2:3" x14ac:dyDescent="0.2">
      <c r="B29" s="54"/>
      <c r="C29" s="54"/>
    </row>
    <row r="30" spans="2:3" x14ac:dyDescent="0.2">
      <c r="B30" s="54"/>
      <c r="C30" s="54"/>
    </row>
    <row r="31" spans="2:3" x14ac:dyDescent="0.2">
      <c r="B31" s="54"/>
      <c r="C31" s="54"/>
    </row>
    <row r="32" spans="2:3" x14ac:dyDescent="0.2">
      <c r="B32" s="54"/>
      <c r="C32" s="54"/>
    </row>
    <row r="33" spans="2:3" x14ac:dyDescent="0.2">
      <c r="B33" s="54"/>
      <c r="C33" s="54"/>
    </row>
    <row r="34" spans="2:3" x14ac:dyDescent="0.2">
      <c r="B34" s="54"/>
      <c r="C34" s="54"/>
    </row>
    <row r="35" spans="2:3" x14ac:dyDescent="0.2">
      <c r="B35" s="54"/>
      <c r="C35" s="54"/>
    </row>
    <row r="36" spans="2:3" x14ac:dyDescent="0.2">
      <c r="B36" s="54"/>
      <c r="C36" s="54"/>
    </row>
    <row r="37" spans="2:3" x14ac:dyDescent="0.2">
      <c r="B37" s="55"/>
      <c r="C37" s="55"/>
    </row>
    <row r="41" spans="2:3" x14ac:dyDescent="0.2">
      <c r="B41" s="57" t="s">
        <v>105</v>
      </c>
      <c r="C41" s="57" t="s">
        <v>60</v>
      </c>
    </row>
    <row r="42" spans="2:3" x14ac:dyDescent="0.2">
      <c r="B42" s="63" t="s">
        <v>443</v>
      </c>
      <c r="C42" s="54" t="s">
        <v>445</v>
      </c>
    </row>
    <row r="43" spans="2:3" x14ac:dyDescent="0.2">
      <c r="B43" s="54" t="s">
        <v>106</v>
      </c>
      <c r="C43" s="54" t="s">
        <v>446</v>
      </c>
    </row>
    <row r="44" spans="2:3" x14ac:dyDescent="0.2">
      <c r="B44" s="54" t="s">
        <v>444</v>
      </c>
      <c r="C44" s="54" t="s">
        <v>447</v>
      </c>
    </row>
    <row r="45" spans="2:3" ht="13.5" customHeight="1" x14ac:dyDescent="0.2">
      <c r="B45" s="54"/>
      <c r="C45" s="54"/>
    </row>
    <row r="46" spans="2:3" ht="13.5" customHeight="1" x14ac:dyDescent="0.2">
      <c r="B46" s="54"/>
      <c r="C46" s="54"/>
    </row>
    <row r="47" spans="2:3" ht="13.5" customHeight="1" x14ac:dyDescent="0.2">
      <c r="B47" s="54"/>
      <c r="C47" s="54"/>
    </row>
    <row r="48" spans="2:3" ht="13.5" customHeight="1" x14ac:dyDescent="0.2">
      <c r="B48" s="54"/>
      <c r="C48" s="54"/>
    </row>
    <row r="49" spans="2:8" ht="13.5" customHeight="1" x14ac:dyDescent="0.2">
      <c r="B49" s="54"/>
      <c r="C49" s="54"/>
    </row>
    <row r="50" spans="2:8" ht="13.5" customHeight="1" x14ac:dyDescent="0.2">
      <c r="B50" s="54"/>
      <c r="C50" s="54"/>
    </row>
    <row r="51" spans="2:8" ht="13.5" customHeight="1" x14ac:dyDescent="0.2">
      <c r="B51" s="54"/>
      <c r="C51" s="54"/>
    </row>
    <row r="52" spans="2:8" ht="13.5" customHeight="1" x14ac:dyDescent="0.2">
      <c r="B52" s="54"/>
      <c r="C52" s="54"/>
    </row>
    <row r="53" spans="2:8" ht="13.5" customHeight="1" x14ac:dyDescent="0.2">
      <c r="B53" s="54"/>
      <c r="C53" s="54"/>
    </row>
    <row r="54" spans="2:8" ht="13.5" customHeight="1" x14ac:dyDescent="0.2">
      <c r="B54" s="54"/>
      <c r="C54" s="54"/>
    </row>
    <row r="55" spans="2:8" ht="13.5" customHeight="1" x14ac:dyDescent="0.2">
      <c r="B55" s="54"/>
      <c r="C55" s="54"/>
    </row>
    <row r="56" spans="2:8" ht="13.5" customHeight="1" x14ac:dyDescent="0.2">
      <c r="B56" s="54"/>
      <c r="C56" s="54"/>
    </row>
    <row r="57" spans="2:8" x14ac:dyDescent="0.2">
      <c r="B57" s="54"/>
      <c r="C57" s="54"/>
    </row>
    <row r="58" spans="2:8" x14ac:dyDescent="0.2">
      <c r="B58" s="54"/>
      <c r="C58" s="54"/>
    </row>
    <row r="59" spans="2:8" x14ac:dyDescent="0.2">
      <c r="B59" s="55"/>
      <c r="C59" s="55"/>
    </row>
    <row r="61" spans="2:8" ht="12.75" customHeight="1" thickBot="1" x14ac:dyDescent="0.25">
      <c r="B61" s="58"/>
      <c r="C61" s="68" t="s">
        <v>170</v>
      </c>
      <c r="D61" s="58"/>
      <c r="E61" s="58"/>
      <c r="F61" s="58"/>
      <c r="G61" s="58"/>
      <c r="H61" s="58"/>
    </row>
    <row r="62" spans="2:8" ht="12.75" customHeight="1" x14ac:dyDescent="0.2">
      <c r="B62" s="58"/>
      <c r="C62" s="58" t="s">
        <v>213</v>
      </c>
      <c r="D62" s="58"/>
      <c r="E62" s="58"/>
      <c r="F62" s="58"/>
      <c r="G62" s="58"/>
      <c r="H62" s="58"/>
    </row>
    <row r="63" spans="2:8" ht="12.75" customHeight="1" x14ac:dyDescent="0.2">
      <c r="B63" s="58"/>
      <c r="C63" s="58" t="s">
        <v>341</v>
      </c>
      <c r="D63" s="58"/>
      <c r="E63" s="58"/>
      <c r="F63" s="58"/>
      <c r="G63" s="58"/>
      <c r="H63" s="58"/>
    </row>
    <row r="64" spans="2:8" ht="12.75" customHeight="1" x14ac:dyDescent="0.2">
      <c r="B64" s="58"/>
      <c r="C64" s="58" t="s">
        <v>342</v>
      </c>
      <c r="D64" s="58"/>
      <c r="E64" s="58"/>
      <c r="F64" s="58"/>
      <c r="G64" s="58"/>
      <c r="H64" s="58"/>
    </row>
    <row r="65" spans="2:9" ht="12.75" customHeight="1" x14ac:dyDescent="0.2">
      <c r="B65" s="58"/>
      <c r="C65" s="58" t="s">
        <v>343</v>
      </c>
      <c r="D65" s="58"/>
      <c r="E65" s="58"/>
      <c r="F65" s="58"/>
      <c r="G65" s="58"/>
      <c r="H65" s="58"/>
    </row>
    <row r="66" spans="2:9" ht="12.75" customHeight="1" x14ac:dyDescent="0.2">
      <c r="B66" s="58"/>
      <c r="C66" s="58" t="s">
        <v>344</v>
      </c>
      <c r="D66" s="58"/>
      <c r="E66" s="58"/>
      <c r="F66" s="255" t="s">
        <v>348</v>
      </c>
      <c r="G66" s="256"/>
      <c r="H66" s="58"/>
    </row>
    <row r="67" spans="2:9" ht="12.75" customHeight="1" x14ac:dyDescent="0.2">
      <c r="B67" s="58"/>
      <c r="C67" s="58" t="s">
        <v>345</v>
      </c>
      <c r="D67" s="58"/>
      <c r="E67" s="58"/>
      <c r="F67" s="255" t="s">
        <v>349</v>
      </c>
      <c r="G67" s="256"/>
      <c r="H67" s="58"/>
    </row>
    <row r="68" spans="2:9" ht="12.75" customHeight="1" x14ac:dyDescent="0.2">
      <c r="B68" s="58"/>
      <c r="C68" s="58" t="s">
        <v>346</v>
      </c>
      <c r="D68" s="58"/>
      <c r="E68" s="58"/>
      <c r="F68" s="58"/>
      <c r="G68" s="58"/>
      <c r="H68" s="58"/>
    </row>
    <row r="69" spans="2:9" ht="12.75" customHeight="1" x14ac:dyDescent="0.2">
      <c r="B69" s="58"/>
      <c r="C69" s="58"/>
      <c r="D69" s="58"/>
      <c r="E69" s="58"/>
      <c r="F69" s="58"/>
      <c r="G69" s="58"/>
      <c r="H69" s="58"/>
    </row>
    <row r="70" spans="2:9" x14ac:dyDescent="0.2">
      <c r="B70" s="58"/>
      <c r="C70" s="58"/>
      <c r="D70" s="257" t="s">
        <v>340</v>
      </c>
      <c r="E70" s="258"/>
      <c r="F70" s="258"/>
      <c r="G70" s="258"/>
      <c r="H70" s="258"/>
      <c r="I70" s="49"/>
    </row>
    <row r="71" spans="2:9" x14ac:dyDescent="0.2">
      <c r="B71" s="58"/>
      <c r="C71" s="59" t="s">
        <v>214</v>
      </c>
      <c r="D71" s="57" t="s">
        <v>212</v>
      </c>
      <c r="E71" s="57" t="s">
        <v>172</v>
      </c>
      <c r="F71" s="57" t="s">
        <v>173</v>
      </c>
      <c r="G71" s="57" t="s">
        <v>174</v>
      </c>
      <c r="H71" s="60"/>
      <c r="I71" s="49"/>
    </row>
    <row r="72" spans="2:9" x14ac:dyDescent="0.2">
      <c r="B72" s="58"/>
      <c r="C72" s="64" t="s">
        <v>171</v>
      </c>
      <c r="D72" s="61" t="s">
        <v>386</v>
      </c>
      <c r="E72" s="61">
        <v>1</v>
      </c>
      <c r="F72" s="61" t="s">
        <v>360</v>
      </c>
      <c r="G72" s="61" t="s">
        <v>485</v>
      </c>
      <c r="H72" s="60"/>
      <c r="I72" s="49"/>
    </row>
    <row r="73" spans="2:9" x14ac:dyDescent="0.2">
      <c r="B73" s="58"/>
      <c r="C73" s="65" t="s">
        <v>152</v>
      </c>
      <c r="D73" s="61" t="s">
        <v>387</v>
      </c>
      <c r="E73" s="62">
        <v>2</v>
      </c>
      <c r="F73" s="61" t="s">
        <v>361</v>
      </c>
      <c r="G73" s="61" t="s">
        <v>25</v>
      </c>
      <c r="H73" s="60"/>
      <c r="I73" s="49"/>
    </row>
    <row r="74" spans="2:9" x14ac:dyDescent="0.2">
      <c r="B74" s="58"/>
      <c r="C74" s="65" t="s">
        <v>244</v>
      </c>
      <c r="D74" s="61" t="s">
        <v>354</v>
      </c>
      <c r="E74" s="62">
        <v>3</v>
      </c>
      <c r="F74" s="61" t="s">
        <v>362</v>
      </c>
      <c r="G74" s="61" t="s">
        <v>26</v>
      </c>
      <c r="H74" s="60"/>
      <c r="I74" s="49"/>
    </row>
    <row r="75" spans="2:9" x14ac:dyDescent="0.2">
      <c r="B75" s="58"/>
      <c r="C75" s="65" t="s">
        <v>246</v>
      </c>
      <c r="D75" s="61" t="s">
        <v>355</v>
      </c>
      <c r="E75" s="62">
        <v>4</v>
      </c>
      <c r="F75" s="61" t="s">
        <v>363</v>
      </c>
      <c r="G75" s="61" t="s">
        <v>46</v>
      </c>
      <c r="H75" s="60"/>
      <c r="I75" s="49"/>
    </row>
    <row r="76" spans="2:9" x14ac:dyDescent="0.2">
      <c r="B76" s="58"/>
      <c r="C76" s="65" t="s">
        <v>245</v>
      </c>
      <c r="D76" s="61" t="s">
        <v>356</v>
      </c>
      <c r="E76" s="62">
        <v>5</v>
      </c>
      <c r="F76" s="61" t="s">
        <v>364</v>
      </c>
      <c r="G76" s="61" t="s">
        <v>45</v>
      </c>
      <c r="H76" s="60"/>
      <c r="I76" s="49"/>
    </row>
    <row r="77" spans="2:9" x14ac:dyDescent="0.2">
      <c r="B77" s="58"/>
      <c r="C77" s="65" t="s">
        <v>247</v>
      </c>
      <c r="D77" s="61" t="s">
        <v>357</v>
      </c>
      <c r="E77" s="62">
        <v>6</v>
      </c>
      <c r="F77" s="61" t="s">
        <v>365</v>
      </c>
      <c r="G77" s="61" t="s">
        <v>44</v>
      </c>
      <c r="H77" s="60"/>
      <c r="I77" s="49"/>
    </row>
    <row r="78" spans="2:9" x14ac:dyDescent="0.2">
      <c r="B78" s="58"/>
      <c r="C78" s="65" t="s">
        <v>248</v>
      </c>
      <c r="D78" s="61" t="s">
        <v>358</v>
      </c>
      <c r="E78" s="62">
        <v>7</v>
      </c>
      <c r="F78" s="61" t="s">
        <v>366</v>
      </c>
      <c r="G78" s="61" t="s">
        <v>43</v>
      </c>
      <c r="H78" s="60"/>
      <c r="I78" s="49"/>
    </row>
    <row r="79" spans="2:9" x14ac:dyDescent="0.2">
      <c r="B79" s="58"/>
      <c r="C79" s="65" t="s">
        <v>249</v>
      </c>
      <c r="D79" s="61" t="s">
        <v>359</v>
      </c>
      <c r="E79" s="62">
        <v>8</v>
      </c>
      <c r="F79" s="61" t="s">
        <v>367</v>
      </c>
      <c r="G79" s="61" t="s">
        <v>42</v>
      </c>
      <c r="H79" s="60"/>
      <c r="I79" s="49"/>
    </row>
    <row r="80" spans="2:9" x14ac:dyDescent="0.2">
      <c r="B80" s="58"/>
      <c r="C80" s="66"/>
      <c r="D80" s="61"/>
      <c r="E80" s="62">
        <v>9</v>
      </c>
      <c r="F80" s="61" t="s">
        <v>368</v>
      </c>
      <c r="G80" s="61" t="s">
        <v>41</v>
      </c>
      <c r="H80" s="60"/>
      <c r="I80" s="49"/>
    </row>
    <row r="81" spans="2:9" x14ac:dyDescent="0.2">
      <c r="B81" s="58"/>
      <c r="C81" s="66"/>
      <c r="D81" s="61"/>
      <c r="E81" s="62">
        <v>10</v>
      </c>
      <c r="F81" s="61" t="s">
        <v>369</v>
      </c>
      <c r="G81" s="61" t="s">
        <v>40</v>
      </c>
      <c r="H81" s="60"/>
      <c r="I81" s="49"/>
    </row>
    <row r="82" spans="2:9" x14ac:dyDescent="0.2">
      <c r="B82" s="58"/>
      <c r="C82" s="66"/>
      <c r="D82" s="61"/>
      <c r="E82" s="62" t="s">
        <v>176</v>
      </c>
      <c r="F82" s="61" t="s">
        <v>93</v>
      </c>
      <c r="G82" s="61" t="s">
        <v>39</v>
      </c>
      <c r="H82" s="60"/>
      <c r="I82" s="49"/>
    </row>
    <row r="83" spans="2:9" x14ac:dyDescent="0.2">
      <c r="B83" s="58"/>
      <c r="C83" s="66"/>
      <c r="D83" s="61"/>
      <c r="E83" s="62" t="s">
        <v>177</v>
      </c>
      <c r="F83" s="62" t="s">
        <v>370</v>
      </c>
      <c r="G83" s="61" t="s">
        <v>38</v>
      </c>
      <c r="H83" s="60"/>
      <c r="I83" s="49"/>
    </row>
    <row r="84" spans="2:9" x14ac:dyDescent="0.2">
      <c r="B84" s="58"/>
      <c r="C84" s="66"/>
      <c r="D84" s="61"/>
      <c r="E84" s="62" t="s">
        <v>178</v>
      </c>
      <c r="F84" s="61" t="s">
        <v>371</v>
      </c>
      <c r="G84" s="61" t="s">
        <v>37</v>
      </c>
      <c r="H84" s="60"/>
      <c r="I84" s="49"/>
    </row>
    <row r="85" spans="2:9" x14ac:dyDescent="0.2">
      <c r="B85" s="58"/>
      <c r="C85" s="66"/>
      <c r="D85" s="61"/>
      <c r="E85" s="62" t="s">
        <v>179</v>
      </c>
      <c r="F85" s="61" t="s">
        <v>332</v>
      </c>
      <c r="G85" s="61" t="s">
        <v>36</v>
      </c>
      <c r="H85" s="60"/>
      <c r="I85" s="49"/>
    </row>
    <row r="86" spans="2:9" x14ac:dyDescent="0.2">
      <c r="B86" s="58"/>
      <c r="C86" s="66"/>
      <c r="D86" s="61"/>
      <c r="E86" s="62" t="s">
        <v>180</v>
      </c>
      <c r="F86" s="61" t="s">
        <v>388</v>
      </c>
      <c r="G86" s="61" t="s">
        <v>35</v>
      </c>
      <c r="H86" s="60"/>
      <c r="I86" s="49"/>
    </row>
    <row r="87" spans="2:9" x14ac:dyDescent="0.2">
      <c r="B87" s="58"/>
      <c r="C87" s="66"/>
      <c r="D87" s="61"/>
      <c r="E87" s="62" t="s">
        <v>181</v>
      </c>
      <c r="F87" s="61" t="s">
        <v>389</v>
      </c>
      <c r="G87" s="61" t="s">
        <v>34</v>
      </c>
      <c r="H87" s="60"/>
      <c r="I87" s="49"/>
    </row>
    <row r="88" spans="2:9" x14ac:dyDescent="0.2">
      <c r="B88" s="58"/>
      <c r="C88" s="66"/>
      <c r="D88" s="61"/>
      <c r="E88" s="62" t="s">
        <v>182</v>
      </c>
      <c r="F88" s="61" t="s">
        <v>390</v>
      </c>
      <c r="G88" s="61" t="s">
        <v>33</v>
      </c>
      <c r="H88" s="60"/>
      <c r="I88" s="49"/>
    </row>
    <row r="89" spans="2:9" x14ac:dyDescent="0.2">
      <c r="B89" s="58"/>
      <c r="C89" s="66"/>
      <c r="D89" s="61"/>
      <c r="E89" s="62" t="s">
        <v>183</v>
      </c>
      <c r="F89" s="61" t="s">
        <v>391</v>
      </c>
      <c r="G89" s="61" t="s">
        <v>32</v>
      </c>
      <c r="H89" s="60"/>
      <c r="I89" s="49"/>
    </row>
    <row r="90" spans="2:9" x14ac:dyDescent="0.2">
      <c r="B90" s="58"/>
      <c r="C90" s="66"/>
      <c r="D90" s="61"/>
      <c r="E90" s="62" t="s">
        <v>184</v>
      </c>
      <c r="F90" s="61" t="s">
        <v>392</v>
      </c>
      <c r="G90" s="61" t="s">
        <v>31</v>
      </c>
      <c r="H90" s="60"/>
      <c r="I90" s="49"/>
    </row>
    <row r="91" spans="2:9" x14ac:dyDescent="0.2">
      <c r="B91" s="58"/>
      <c r="C91" s="66"/>
      <c r="D91" s="61"/>
      <c r="E91" s="62" t="s">
        <v>185</v>
      </c>
      <c r="F91" s="61" t="s">
        <v>393</v>
      </c>
      <c r="G91" s="61" t="s">
        <v>30</v>
      </c>
      <c r="H91" s="60"/>
      <c r="I91" s="49"/>
    </row>
    <row r="92" spans="2:9" x14ac:dyDescent="0.2">
      <c r="B92" s="58"/>
      <c r="C92" s="66"/>
      <c r="D92" s="61"/>
      <c r="E92" s="62" t="s">
        <v>186</v>
      </c>
      <c r="F92" s="61" t="s">
        <v>394</v>
      </c>
      <c r="G92" s="61" t="s">
        <v>29</v>
      </c>
      <c r="H92" s="60"/>
      <c r="I92" s="49"/>
    </row>
    <row r="93" spans="2:9" x14ac:dyDescent="0.2">
      <c r="B93" s="58"/>
      <c r="C93" s="66"/>
      <c r="D93" s="61"/>
      <c r="E93" s="62" t="s">
        <v>187</v>
      </c>
      <c r="F93" s="61" t="s">
        <v>395</v>
      </c>
      <c r="G93" s="61" t="s">
        <v>28</v>
      </c>
      <c r="H93" s="60"/>
      <c r="I93" s="49"/>
    </row>
    <row r="94" spans="2:9" x14ac:dyDescent="0.2">
      <c r="B94" s="58"/>
      <c r="C94" s="66"/>
      <c r="D94" s="61"/>
      <c r="E94" s="62" t="s">
        <v>188</v>
      </c>
      <c r="F94" s="61" t="s">
        <v>396</v>
      </c>
      <c r="G94" s="61" t="s">
        <v>27</v>
      </c>
      <c r="H94" s="60"/>
      <c r="I94" s="49"/>
    </row>
    <row r="95" spans="2:9" x14ac:dyDescent="0.2">
      <c r="B95" s="58"/>
      <c r="C95" s="66"/>
      <c r="D95" s="61"/>
      <c r="E95" s="62" t="s">
        <v>189</v>
      </c>
      <c r="F95" s="61" t="s">
        <v>397</v>
      </c>
      <c r="G95" s="61" t="s">
        <v>455</v>
      </c>
      <c r="H95" s="60"/>
      <c r="I95" s="49"/>
    </row>
    <row r="96" spans="2:9" x14ac:dyDescent="0.2">
      <c r="B96" s="58"/>
      <c r="C96" s="66"/>
      <c r="D96" s="61"/>
      <c r="E96" s="62" t="s">
        <v>190</v>
      </c>
      <c r="F96" s="61" t="s">
        <v>0</v>
      </c>
      <c r="G96" s="61" t="s">
        <v>456</v>
      </c>
      <c r="H96" s="60"/>
      <c r="I96" s="49"/>
    </row>
    <row r="97" spans="2:9" x14ac:dyDescent="0.2">
      <c r="B97" s="58"/>
      <c r="C97" s="66"/>
      <c r="D97" s="61"/>
      <c r="E97" s="62" t="s">
        <v>191</v>
      </c>
      <c r="F97" s="61" t="s">
        <v>398</v>
      </c>
      <c r="G97" s="61" t="s">
        <v>457</v>
      </c>
      <c r="H97" s="60"/>
      <c r="I97" s="49"/>
    </row>
    <row r="98" spans="2:9" x14ac:dyDescent="0.2">
      <c r="B98" s="58"/>
      <c r="C98" s="66"/>
      <c r="D98" s="61"/>
      <c r="E98" s="62" t="s">
        <v>192</v>
      </c>
      <c r="F98" s="61" t="s">
        <v>175</v>
      </c>
      <c r="G98" s="61" t="s">
        <v>458</v>
      </c>
      <c r="H98" s="60"/>
      <c r="I98" s="49"/>
    </row>
    <row r="99" spans="2:9" x14ac:dyDescent="0.2">
      <c r="B99" s="58"/>
      <c r="C99" s="66"/>
      <c r="D99" s="61"/>
      <c r="E99" s="62" t="s">
        <v>193</v>
      </c>
      <c r="F99" s="61" t="s">
        <v>219</v>
      </c>
      <c r="G99" s="61" t="s">
        <v>459</v>
      </c>
      <c r="H99" s="60"/>
      <c r="I99" s="49"/>
    </row>
    <row r="100" spans="2:9" x14ac:dyDescent="0.2">
      <c r="B100" s="58"/>
      <c r="C100" s="66"/>
      <c r="D100" s="61"/>
      <c r="E100" s="62" t="s">
        <v>194</v>
      </c>
      <c r="F100" s="61" t="s">
        <v>220</v>
      </c>
      <c r="G100" s="61" t="s">
        <v>460</v>
      </c>
      <c r="H100" s="60"/>
      <c r="I100" s="49"/>
    </row>
    <row r="101" spans="2:9" x14ac:dyDescent="0.2">
      <c r="B101" s="58"/>
      <c r="C101" s="66"/>
      <c r="D101" s="61"/>
      <c r="E101" s="62" t="s">
        <v>195</v>
      </c>
      <c r="F101" s="61" t="s">
        <v>221</v>
      </c>
      <c r="G101" s="61" t="s">
        <v>461</v>
      </c>
      <c r="H101" s="60"/>
      <c r="I101" s="49"/>
    </row>
    <row r="102" spans="2:9" x14ac:dyDescent="0.2">
      <c r="B102" s="58"/>
      <c r="C102" s="66"/>
      <c r="D102" s="61"/>
      <c r="E102" s="62" t="s">
        <v>196</v>
      </c>
      <c r="F102" s="61" t="s">
        <v>222</v>
      </c>
      <c r="G102" s="61" t="s">
        <v>462</v>
      </c>
      <c r="H102" s="60"/>
      <c r="I102" s="49"/>
    </row>
    <row r="103" spans="2:9" x14ac:dyDescent="0.2">
      <c r="B103" s="58"/>
      <c r="C103" s="66"/>
      <c r="D103" s="61"/>
      <c r="E103" s="62" t="s">
        <v>197</v>
      </c>
      <c r="F103" s="61" t="s">
        <v>223</v>
      </c>
      <c r="G103" s="62">
        <v>31</v>
      </c>
      <c r="H103" s="60"/>
      <c r="I103" s="49"/>
    </row>
    <row r="104" spans="2:9" x14ac:dyDescent="0.2">
      <c r="B104" s="58"/>
      <c r="C104" s="66"/>
      <c r="D104" s="61"/>
      <c r="E104" s="62" t="s">
        <v>198</v>
      </c>
      <c r="F104" s="61" t="s">
        <v>224</v>
      </c>
      <c r="G104" s="62">
        <v>32</v>
      </c>
      <c r="H104" s="60"/>
      <c r="I104" s="49"/>
    </row>
    <row r="105" spans="2:9" x14ac:dyDescent="0.2">
      <c r="B105" s="58"/>
      <c r="C105" s="66"/>
      <c r="D105" s="61"/>
      <c r="E105" s="62" t="s">
        <v>199</v>
      </c>
      <c r="F105" s="61" t="s">
        <v>225</v>
      </c>
      <c r="G105" s="62">
        <v>33</v>
      </c>
      <c r="H105" s="60"/>
      <c r="I105" s="49"/>
    </row>
    <row r="106" spans="2:9" x14ac:dyDescent="0.2">
      <c r="B106" s="58"/>
      <c r="C106" s="66"/>
      <c r="D106" s="61"/>
      <c r="E106" s="62" t="s">
        <v>200</v>
      </c>
      <c r="F106" s="61" t="s">
        <v>226</v>
      </c>
      <c r="G106" s="62">
        <v>34</v>
      </c>
      <c r="H106" s="60"/>
      <c r="I106" s="49"/>
    </row>
    <row r="107" spans="2:9" x14ac:dyDescent="0.2">
      <c r="B107" s="58"/>
      <c r="C107" s="66"/>
      <c r="D107" s="61"/>
      <c r="E107" s="62" t="s">
        <v>201</v>
      </c>
      <c r="F107" s="61" t="s">
        <v>227</v>
      </c>
      <c r="G107" s="62">
        <v>35</v>
      </c>
      <c r="H107" s="60"/>
      <c r="I107" s="49"/>
    </row>
    <row r="108" spans="2:9" x14ac:dyDescent="0.2">
      <c r="B108" s="58"/>
      <c r="C108" s="66"/>
      <c r="D108" s="61"/>
      <c r="E108" s="62" t="s">
        <v>202</v>
      </c>
      <c r="F108" s="61" t="s">
        <v>228</v>
      </c>
      <c r="G108" s="62">
        <v>36</v>
      </c>
      <c r="H108" s="60"/>
      <c r="I108" s="49"/>
    </row>
    <row r="109" spans="2:9" x14ac:dyDescent="0.2">
      <c r="B109" s="58"/>
      <c r="C109" s="66"/>
      <c r="D109" s="61"/>
      <c r="E109" s="62" t="s">
        <v>203</v>
      </c>
      <c r="F109" s="61" t="s">
        <v>229</v>
      </c>
      <c r="G109" s="62">
        <v>37</v>
      </c>
      <c r="H109" s="60"/>
      <c r="I109" s="49"/>
    </row>
    <row r="110" spans="2:9" x14ac:dyDescent="0.2">
      <c r="B110" s="58"/>
      <c r="C110" s="66"/>
      <c r="D110" s="61"/>
      <c r="E110" s="62" t="s">
        <v>204</v>
      </c>
      <c r="F110" s="61" t="s">
        <v>230</v>
      </c>
      <c r="G110" s="62">
        <v>38</v>
      </c>
      <c r="H110" s="60"/>
      <c r="I110" s="49"/>
    </row>
    <row r="111" spans="2:9" x14ac:dyDescent="0.2">
      <c r="B111" s="58"/>
      <c r="C111" s="66"/>
      <c r="D111" s="61"/>
      <c r="E111" s="62" t="s">
        <v>205</v>
      </c>
      <c r="F111" s="61" t="s">
        <v>231</v>
      </c>
      <c r="G111" s="62">
        <v>39</v>
      </c>
      <c r="H111" s="60"/>
      <c r="I111" s="49"/>
    </row>
    <row r="112" spans="2:9" x14ac:dyDescent="0.2">
      <c r="B112" s="58"/>
      <c r="C112" s="66"/>
      <c r="D112" s="61"/>
      <c r="E112" s="62" t="s">
        <v>206</v>
      </c>
      <c r="F112" s="61" t="s">
        <v>232</v>
      </c>
      <c r="G112" s="62">
        <v>40</v>
      </c>
      <c r="H112" s="60"/>
      <c r="I112" s="49"/>
    </row>
    <row r="113" spans="2:9" x14ac:dyDescent="0.2">
      <c r="B113" s="58"/>
      <c r="C113" s="66"/>
      <c r="D113" s="61"/>
      <c r="E113" s="62" t="s">
        <v>207</v>
      </c>
      <c r="F113" s="61" t="s">
        <v>233</v>
      </c>
      <c r="G113" s="62">
        <v>41</v>
      </c>
      <c r="H113" s="60"/>
      <c r="I113" s="49"/>
    </row>
    <row r="114" spans="2:9" x14ac:dyDescent="0.2">
      <c r="B114" s="58"/>
      <c r="C114" s="66"/>
      <c r="D114" s="61"/>
      <c r="E114" s="62" t="s">
        <v>208</v>
      </c>
      <c r="F114" s="61" t="s">
        <v>234</v>
      </c>
      <c r="G114" s="62">
        <v>42</v>
      </c>
      <c r="H114" s="60"/>
      <c r="I114" s="49"/>
    </row>
    <row r="115" spans="2:9" x14ac:dyDescent="0.2">
      <c r="B115" s="58"/>
      <c r="C115" s="66"/>
      <c r="D115" s="61"/>
      <c r="E115" s="62" t="s">
        <v>209</v>
      </c>
      <c r="F115" s="61" t="s">
        <v>235</v>
      </c>
      <c r="G115" s="62">
        <v>43</v>
      </c>
      <c r="H115" s="60"/>
      <c r="I115" s="49"/>
    </row>
    <row r="116" spans="2:9" x14ac:dyDescent="0.2">
      <c r="B116" s="58"/>
      <c r="C116" s="66"/>
      <c r="D116" s="61"/>
      <c r="E116" s="62" t="s">
        <v>210</v>
      </c>
      <c r="F116" s="61" t="s">
        <v>236</v>
      </c>
      <c r="G116" s="62">
        <v>44</v>
      </c>
      <c r="H116" s="60"/>
      <c r="I116" s="49"/>
    </row>
    <row r="117" spans="2:9" x14ac:dyDescent="0.2">
      <c r="B117" s="58"/>
      <c r="C117" s="66"/>
      <c r="D117" s="61"/>
      <c r="E117" s="62" t="s">
        <v>211</v>
      </c>
      <c r="F117" s="61" t="s">
        <v>237</v>
      </c>
      <c r="G117" s="62">
        <v>45</v>
      </c>
      <c r="H117" s="60"/>
      <c r="I117" s="49"/>
    </row>
    <row r="118" spans="2:9" x14ac:dyDescent="0.2">
      <c r="B118" s="58"/>
      <c r="C118" s="66"/>
      <c r="D118" s="61"/>
      <c r="E118" s="62" t="s">
        <v>215</v>
      </c>
      <c r="F118" s="61" t="s">
        <v>238</v>
      </c>
      <c r="G118" s="62">
        <v>46</v>
      </c>
      <c r="H118" s="60"/>
      <c r="I118" s="49"/>
    </row>
    <row r="119" spans="2:9" x14ac:dyDescent="0.2">
      <c r="B119" s="58"/>
      <c r="C119" s="66"/>
      <c r="D119" s="54"/>
      <c r="E119" s="62" t="s">
        <v>216</v>
      </c>
      <c r="F119" s="61" t="s">
        <v>239</v>
      </c>
      <c r="G119" s="62">
        <v>47</v>
      </c>
      <c r="H119" s="60"/>
      <c r="I119" s="49"/>
    </row>
    <row r="120" spans="2:9" x14ac:dyDescent="0.2">
      <c r="B120" s="58"/>
      <c r="C120" s="66"/>
      <c r="D120" s="54"/>
      <c r="E120" s="62" t="s">
        <v>217</v>
      </c>
      <c r="F120" s="61" t="s">
        <v>240</v>
      </c>
      <c r="G120" s="62">
        <v>48</v>
      </c>
      <c r="H120" s="60"/>
      <c r="I120" s="49"/>
    </row>
    <row r="121" spans="2:9" x14ac:dyDescent="0.2">
      <c r="B121" s="58"/>
      <c r="C121" s="67"/>
      <c r="D121" s="54"/>
      <c r="E121" s="62" t="s">
        <v>218</v>
      </c>
      <c r="F121" s="61" t="s">
        <v>241</v>
      </c>
      <c r="G121" s="62">
        <v>49</v>
      </c>
      <c r="H121" s="60"/>
      <c r="I121" s="49"/>
    </row>
    <row r="122" spans="2:9" x14ac:dyDescent="0.2">
      <c r="C122" s="49"/>
      <c r="D122" s="50"/>
      <c r="E122" s="51"/>
      <c r="F122" s="52"/>
      <c r="G122" s="51"/>
      <c r="H122" s="49"/>
      <c r="I122" s="49"/>
    </row>
    <row r="123" spans="2:9" x14ac:dyDescent="0.2">
      <c r="C123" s="49"/>
      <c r="D123" s="50"/>
      <c r="E123" s="51"/>
      <c r="F123" s="52"/>
      <c r="G123" s="51"/>
      <c r="H123" s="49"/>
      <c r="I123" s="49"/>
    </row>
    <row r="124" spans="2:9" x14ac:dyDescent="0.2">
      <c r="C124" s="49"/>
      <c r="D124" s="50"/>
      <c r="E124" s="51"/>
      <c r="F124" s="52"/>
      <c r="G124" s="51"/>
      <c r="H124" s="49"/>
      <c r="I124" s="49"/>
    </row>
    <row r="125" spans="2:9" x14ac:dyDescent="0.2">
      <c r="C125" s="49"/>
      <c r="D125" s="50"/>
      <c r="E125" s="51"/>
      <c r="F125" s="52"/>
      <c r="G125" s="51"/>
      <c r="H125" s="49"/>
      <c r="I125" s="49"/>
    </row>
    <row r="126" spans="2:9" x14ac:dyDescent="0.2">
      <c r="C126" s="49"/>
      <c r="D126" s="50"/>
      <c r="E126" s="51"/>
      <c r="F126" s="52"/>
      <c r="G126" s="51"/>
      <c r="H126" s="49"/>
    </row>
    <row r="127" spans="2:9" x14ac:dyDescent="0.2">
      <c r="C127" s="49"/>
      <c r="D127" s="50"/>
      <c r="E127" s="51"/>
      <c r="F127" s="52"/>
      <c r="G127" s="51"/>
      <c r="H127" s="49"/>
    </row>
    <row r="128" spans="2:9" x14ac:dyDescent="0.2">
      <c r="C128" s="49"/>
      <c r="D128" s="50"/>
      <c r="E128" s="51"/>
      <c r="F128" s="52"/>
      <c r="G128" s="51"/>
      <c r="H128" s="49"/>
    </row>
    <row r="129" spans="3:8" x14ac:dyDescent="0.2">
      <c r="C129" s="49"/>
      <c r="D129" s="50"/>
      <c r="E129" s="51"/>
      <c r="F129" s="52"/>
      <c r="G129" s="51"/>
      <c r="H129" s="49"/>
    </row>
    <row r="130" spans="3:8" x14ac:dyDescent="0.2">
      <c r="C130" s="49"/>
      <c r="D130" s="50"/>
      <c r="E130" s="51"/>
      <c r="F130" s="52"/>
      <c r="G130" s="51"/>
      <c r="H130" s="49"/>
    </row>
    <row r="131" spans="3:8" x14ac:dyDescent="0.2">
      <c r="C131" s="49"/>
      <c r="D131" s="50"/>
      <c r="E131" s="51"/>
      <c r="F131" s="52"/>
      <c r="G131" s="51"/>
      <c r="H131" s="49"/>
    </row>
    <row r="132" spans="3:8" x14ac:dyDescent="0.2">
      <c r="C132" s="49"/>
      <c r="D132" s="50"/>
      <c r="E132" s="51"/>
      <c r="F132" s="52"/>
      <c r="G132" s="51"/>
      <c r="H132" s="49"/>
    </row>
    <row r="133" spans="3:8" x14ac:dyDescent="0.2">
      <c r="C133" s="49"/>
      <c r="D133" s="50"/>
      <c r="E133" s="51"/>
      <c r="F133" s="52"/>
      <c r="G133" s="51"/>
      <c r="H133" s="49"/>
    </row>
    <row r="134" spans="3:8" x14ac:dyDescent="0.2">
      <c r="C134" s="49"/>
      <c r="D134" s="50"/>
      <c r="E134" s="51"/>
      <c r="F134" s="52"/>
      <c r="G134" s="51"/>
      <c r="H134" s="49"/>
    </row>
    <row r="135" spans="3:8" x14ac:dyDescent="0.2">
      <c r="C135" s="49"/>
      <c r="D135" s="50"/>
      <c r="E135" s="51"/>
      <c r="F135" s="52"/>
      <c r="G135" s="51"/>
      <c r="H135" s="49"/>
    </row>
    <row r="136" spans="3:8" x14ac:dyDescent="0.2">
      <c r="C136" s="49"/>
      <c r="D136" s="50"/>
      <c r="E136" s="51"/>
      <c r="F136" s="52"/>
      <c r="G136" s="51"/>
      <c r="H136" s="49"/>
    </row>
    <row r="137" spans="3:8" x14ac:dyDescent="0.2">
      <c r="C137" s="49"/>
      <c r="D137" s="50"/>
      <c r="E137" s="51"/>
      <c r="F137" s="52"/>
      <c r="G137" s="51"/>
      <c r="H137" s="49"/>
    </row>
    <row r="138" spans="3:8" x14ac:dyDescent="0.2">
      <c r="C138" s="49"/>
      <c r="D138" s="50"/>
      <c r="E138" s="51"/>
      <c r="F138" s="52"/>
      <c r="G138" s="51"/>
      <c r="H138" s="49"/>
    </row>
    <row r="139" spans="3:8" x14ac:dyDescent="0.2">
      <c r="C139" s="49"/>
      <c r="D139" s="50"/>
      <c r="E139" s="51"/>
      <c r="F139" s="52"/>
      <c r="G139" s="51"/>
      <c r="H139" s="49"/>
    </row>
    <row r="140" spans="3:8" x14ac:dyDescent="0.2">
      <c r="C140" s="49"/>
      <c r="D140" s="50"/>
      <c r="E140" s="51"/>
      <c r="F140" s="52"/>
      <c r="G140" s="51"/>
      <c r="H140" s="49"/>
    </row>
    <row r="141" spans="3:8" x14ac:dyDescent="0.2">
      <c r="C141" s="49"/>
      <c r="D141" s="50"/>
      <c r="E141" s="51"/>
      <c r="F141" s="52"/>
      <c r="G141" s="51"/>
      <c r="H141" s="49"/>
    </row>
    <row r="142" spans="3:8" x14ac:dyDescent="0.2">
      <c r="C142" s="49"/>
      <c r="D142" s="50"/>
      <c r="E142" s="51"/>
      <c r="F142" s="52"/>
      <c r="G142" s="51"/>
      <c r="H142" s="49"/>
    </row>
    <row r="143" spans="3:8" x14ac:dyDescent="0.2">
      <c r="C143" s="49"/>
      <c r="D143" s="50"/>
      <c r="E143" s="51"/>
      <c r="F143" s="52"/>
      <c r="G143" s="51"/>
      <c r="H143" s="49"/>
    </row>
    <row r="144" spans="3:8" x14ac:dyDescent="0.2">
      <c r="C144" s="49"/>
      <c r="D144" s="50"/>
      <c r="E144" s="51"/>
      <c r="F144" s="52"/>
      <c r="G144" s="51"/>
      <c r="H144" s="49"/>
    </row>
    <row r="145" spans="3:8" x14ac:dyDescent="0.2">
      <c r="C145" s="49"/>
      <c r="D145" s="50"/>
      <c r="E145" s="51"/>
      <c r="F145" s="52"/>
      <c r="G145" s="51"/>
      <c r="H145" s="49"/>
    </row>
    <row r="146" spans="3:8" x14ac:dyDescent="0.2">
      <c r="C146" s="49"/>
      <c r="D146" s="50"/>
      <c r="E146" s="51"/>
      <c r="F146" s="52"/>
      <c r="G146" s="51"/>
      <c r="H146" s="49"/>
    </row>
    <row r="147" spans="3:8" x14ac:dyDescent="0.2">
      <c r="C147" s="49"/>
      <c r="D147" s="50"/>
      <c r="E147" s="51"/>
      <c r="F147" s="52"/>
      <c r="G147" s="51"/>
      <c r="H147" s="49"/>
    </row>
    <row r="148" spans="3:8" x14ac:dyDescent="0.2">
      <c r="C148" s="49"/>
      <c r="D148" s="50"/>
      <c r="E148" s="51"/>
      <c r="F148" s="52"/>
      <c r="G148" s="51"/>
      <c r="H148" s="49"/>
    </row>
    <row r="149" spans="3:8" x14ac:dyDescent="0.2">
      <c r="C149" s="49"/>
      <c r="D149" s="50"/>
      <c r="E149" s="51"/>
      <c r="F149" s="52"/>
      <c r="G149" s="51"/>
      <c r="H149" s="49"/>
    </row>
    <row r="150" spans="3:8" x14ac:dyDescent="0.2">
      <c r="C150" s="49"/>
      <c r="D150" s="50"/>
      <c r="E150" s="51"/>
      <c r="F150" s="52"/>
      <c r="G150" s="51"/>
      <c r="H150" s="49"/>
    </row>
    <row r="151" spans="3:8" x14ac:dyDescent="0.2">
      <c r="C151" s="49"/>
      <c r="D151" s="50"/>
      <c r="E151" s="51"/>
      <c r="F151" s="52"/>
      <c r="G151" s="51"/>
      <c r="H151" s="49"/>
    </row>
    <row r="152" spans="3:8" x14ac:dyDescent="0.2">
      <c r="C152" s="49"/>
      <c r="D152" s="50"/>
      <c r="E152" s="51"/>
      <c r="F152" s="52"/>
      <c r="G152" s="51"/>
      <c r="H152" s="49"/>
    </row>
    <row r="153" spans="3:8" x14ac:dyDescent="0.2">
      <c r="C153" s="49"/>
      <c r="D153" s="50"/>
      <c r="E153" s="51"/>
      <c r="F153" s="52"/>
      <c r="G153" s="51"/>
      <c r="H153" s="49"/>
    </row>
    <row r="154" spans="3:8" x14ac:dyDescent="0.2">
      <c r="C154" s="49"/>
      <c r="D154" s="50"/>
      <c r="E154" s="51"/>
      <c r="F154" s="52"/>
      <c r="G154" s="51"/>
      <c r="H154" s="49"/>
    </row>
    <row r="155" spans="3:8" x14ac:dyDescent="0.2">
      <c r="C155" s="49"/>
      <c r="D155" s="50"/>
      <c r="E155" s="51"/>
      <c r="F155" s="52"/>
      <c r="G155" s="51"/>
      <c r="H155" s="49"/>
    </row>
    <row r="156" spans="3:8" x14ac:dyDescent="0.2">
      <c r="C156" s="49"/>
      <c r="D156" s="50"/>
      <c r="E156" s="51"/>
      <c r="F156" s="52"/>
      <c r="G156" s="51"/>
      <c r="H156" s="49"/>
    </row>
    <row r="157" spans="3:8" x14ac:dyDescent="0.2">
      <c r="C157" s="49"/>
      <c r="D157" s="50"/>
      <c r="E157" s="51"/>
      <c r="F157" s="52"/>
      <c r="G157" s="51"/>
      <c r="H157" s="49"/>
    </row>
    <row r="158" spans="3:8" x14ac:dyDescent="0.2">
      <c r="C158" s="49"/>
      <c r="D158" s="50"/>
      <c r="E158" s="51"/>
      <c r="F158" s="52"/>
      <c r="G158" s="51"/>
      <c r="H158" s="49"/>
    </row>
    <row r="159" spans="3:8" x14ac:dyDescent="0.2">
      <c r="C159" s="49"/>
      <c r="D159" s="50"/>
      <c r="E159" s="51"/>
      <c r="F159" s="52"/>
      <c r="G159" s="51"/>
      <c r="H159" s="49"/>
    </row>
    <row r="160" spans="3:8" x14ac:dyDescent="0.2">
      <c r="C160" s="49"/>
      <c r="D160" s="50"/>
      <c r="E160" s="51"/>
      <c r="F160" s="52"/>
      <c r="G160" s="51"/>
      <c r="H160" s="49"/>
    </row>
    <row r="161" spans="3:8" x14ac:dyDescent="0.2">
      <c r="C161" s="49"/>
      <c r="D161" s="50"/>
      <c r="E161" s="51"/>
      <c r="F161" s="52"/>
      <c r="G161" s="51"/>
      <c r="H161" s="49"/>
    </row>
    <row r="162" spans="3:8" x14ac:dyDescent="0.2">
      <c r="C162" s="49"/>
      <c r="D162" s="50"/>
      <c r="E162" s="51"/>
      <c r="F162" s="52"/>
      <c r="G162" s="51"/>
      <c r="H162" s="49"/>
    </row>
    <row r="163" spans="3:8" x14ac:dyDescent="0.2">
      <c r="C163" s="49"/>
      <c r="D163" s="50"/>
      <c r="E163" s="51"/>
      <c r="F163" s="52"/>
      <c r="G163" s="51"/>
      <c r="H163" s="49"/>
    </row>
    <row r="164" spans="3:8" x14ac:dyDescent="0.2">
      <c r="C164" s="49"/>
      <c r="D164" s="50"/>
      <c r="E164" s="51"/>
      <c r="F164" s="52"/>
      <c r="G164" s="51"/>
      <c r="H164" s="49"/>
    </row>
    <row r="165" spans="3:8" x14ac:dyDescent="0.2">
      <c r="C165" s="49"/>
      <c r="D165" s="50"/>
      <c r="E165" s="51"/>
      <c r="F165" s="52"/>
      <c r="G165" s="51"/>
      <c r="H165" s="49"/>
    </row>
    <row r="166" spans="3:8" x14ac:dyDescent="0.2">
      <c r="C166" s="49"/>
      <c r="D166" s="50"/>
      <c r="E166" s="51"/>
      <c r="F166" s="52"/>
      <c r="G166" s="51"/>
      <c r="H166" s="49"/>
    </row>
    <row r="167" spans="3:8" x14ac:dyDescent="0.2">
      <c r="C167" s="49"/>
      <c r="D167" s="50"/>
      <c r="E167" s="51"/>
      <c r="F167" s="52"/>
      <c r="G167" s="51"/>
      <c r="H167" s="49"/>
    </row>
    <row r="168" spans="3:8" x14ac:dyDescent="0.2">
      <c r="C168" s="49"/>
      <c r="D168" s="50"/>
      <c r="E168" s="51"/>
      <c r="F168" s="52"/>
      <c r="G168" s="51"/>
      <c r="H168" s="49"/>
    </row>
    <row r="169" spans="3:8" x14ac:dyDescent="0.2">
      <c r="C169" s="49"/>
      <c r="D169" s="50"/>
      <c r="E169" s="51"/>
      <c r="F169" s="52"/>
      <c r="G169" s="51"/>
      <c r="H169" s="49"/>
    </row>
    <row r="170" spans="3:8" x14ac:dyDescent="0.2">
      <c r="C170" s="49"/>
      <c r="D170" s="50"/>
      <c r="E170" s="51"/>
      <c r="F170" s="52"/>
      <c r="G170" s="51"/>
      <c r="H170" s="49"/>
    </row>
    <row r="171" spans="3:8" x14ac:dyDescent="0.2">
      <c r="C171" s="49"/>
      <c r="D171" s="50"/>
      <c r="E171" s="50"/>
      <c r="F171" s="52"/>
      <c r="G171" s="50"/>
      <c r="H171" s="49"/>
    </row>
    <row r="172" spans="3:8" x14ac:dyDescent="0.2">
      <c r="C172" s="49"/>
      <c r="D172" s="50"/>
      <c r="E172" s="50"/>
      <c r="F172" s="52"/>
      <c r="G172" s="50"/>
      <c r="H172" s="49"/>
    </row>
    <row r="173" spans="3:8" x14ac:dyDescent="0.2">
      <c r="C173" s="49"/>
      <c r="D173" s="50"/>
      <c r="E173" s="50"/>
      <c r="F173" s="52"/>
      <c r="G173" s="50"/>
      <c r="H173" s="49"/>
    </row>
    <row r="174" spans="3:8" x14ac:dyDescent="0.2">
      <c r="C174" s="49"/>
      <c r="D174" s="50"/>
      <c r="E174" s="50"/>
      <c r="F174" s="52"/>
      <c r="G174" s="50"/>
      <c r="H174" s="49"/>
    </row>
    <row r="175" spans="3:8" x14ac:dyDescent="0.2">
      <c r="C175" s="49"/>
      <c r="D175" s="50"/>
      <c r="E175" s="50"/>
      <c r="F175" s="52"/>
      <c r="G175" s="50"/>
      <c r="H175" s="49"/>
    </row>
    <row r="176" spans="3:8" x14ac:dyDescent="0.2">
      <c r="C176" s="49"/>
      <c r="D176" s="50"/>
      <c r="E176" s="50"/>
      <c r="F176" s="52"/>
      <c r="G176" s="50"/>
      <c r="H176" s="49"/>
    </row>
    <row r="177" spans="4:7" x14ac:dyDescent="0.2">
      <c r="D177" s="53"/>
      <c r="E177" s="50"/>
      <c r="F177" s="52"/>
      <c r="G177" s="50"/>
    </row>
    <row r="178" spans="4:7" x14ac:dyDescent="0.2">
      <c r="D178" s="53"/>
      <c r="E178" s="50"/>
      <c r="F178" s="52"/>
      <c r="G178" s="50"/>
    </row>
    <row r="179" spans="4:7" x14ac:dyDescent="0.2">
      <c r="D179" s="53"/>
      <c r="E179" s="50"/>
      <c r="F179" s="52"/>
      <c r="G179" s="50"/>
    </row>
    <row r="180" spans="4:7" x14ac:dyDescent="0.2">
      <c r="D180" s="53"/>
      <c r="E180" s="50"/>
      <c r="F180" s="52"/>
      <c r="G180" s="50"/>
    </row>
    <row r="181" spans="4:7" x14ac:dyDescent="0.2">
      <c r="D181" s="53"/>
      <c r="E181" s="50"/>
      <c r="F181" s="52"/>
      <c r="G181" s="50"/>
    </row>
    <row r="182" spans="4:7" x14ac:dyDescent="0.2">
      <c r="D182" s="53"/>
      <c r="E182" s="50"/>
      <c r="F182" s="52"/>
      <c r="G182" s="50"/>
    </row>
    <row r="183" spans="4:7" x14ac:dyDescent="0.2">
      <c r="D183" s="53"/>
      <c r="E183" s="50"/>
      <c r="F183" s="52"/>
      <c r="G183" s="50"/>
    </row>
    <row r="184" spans="4:7" x14ac:dyDescent="0.2">
      <c r="D184" s="53"/>
      <c r="E184" s="50"/>
      <c r="F184" s="52"/>
      <c r="G184" s="50"/>
    </row>
    <row r="185" spans="4:7" x14ac:dyDescent="0.2">
      <c r="D185" s="53"/>
      <c r="E185" s="50"/>
      <c r="F185" s="52"/>
      <c r="G185" s="50"/>
    </row>
    <row r="186" spans="4:7" x14ac:dyDescent="0.2">
      <c r="D186" s="53"/>
      <c r="E186" s="50"/>
      <c r="F186" s="52"/>
      <c r="G186" s="50"/>
    </row>
    <row r="187" spans="4:7" x14ac:dyDescent="0.2">
      <c r="D187" s="53"/>
      <c r="E187" s="50"/>
      <c r="F187" s="52"/>
      <c r="G187" s="50"/>
    </row>
    <row r="188" spans="4:7" x14ac:dyDescent="0.2">
      <c r="D188" s="53"/>
      <c r="E188" s="50"/>
      <c r="F188" s="52"/>
      <c r="G188" s="50"/>
    </row>
    <row r="189" spans="4:7" x14ac:dyDescent="0.2">
      <c r="D189" s="53"/>
      <c r="E189" s="50"/>
      <c r="F189" s="52"/>
      <c r="G189" s="50"/>
    </row>
    <row r="190" spans="4:7" x14ac:dyDescent="0.2">
      <c r="D190" s="53"/>
      <c r="E190" s="50"/>
      <c r="F190" s="52"/>
      <c r="G190" s="50"/>
    </row>
    <row r="191" spans="4:7" x14ac:dyDescent="0.2">
      <c r="D191" s="53"/>
      <c r="E191" s="50"/>
      <c r="F191" s="52"/>
      <c r="G191" s="50"/>
    </row>
    <row r="192" spans="4:7" x14ac:dyDescent="0.2">
      <c r="D192" s="53"/>
      <c r="E192" s="50"/>
      <c r="F192" s="52"/>
      <c r="G192" s="50"/>
    </row>
    <row r="193" spans="4:7" x14ac:dyDescent="0.2">
      <c r="D193" s="53"/>
      <c r="E193" s="50"/>
      <c r="F193" s="52"/>
      <c r="G193" s="50"/>
    </row>
    <row r="194" spans="4:7" x14ac:dyDescent="0.2">
      <c r="D194" s="53"/>
      <c r="E194" s="50"/>
      <c r="F194" s="52"/>
      <c r="G194" s="50"/>
    </row>
    <row r="195" spans="4:7" x14ac:dyDescent="0.2">
      <c r="D195" s="53"/>
      <c r="E195" s="50"/>
      <c r="F195" s="52"/>
      <c r="G195" s="50"/>
    </row>
    <row r="196" spans="4:7" x14ac:dyDescent="0.2">
      <c r="D196" s="53"/>
      <c r="E196" s="50"/>
      <c r="F196" s="52"/>
      <c r="G196" s="50"/>
    </row>
    <row r="197" spans="4:7" x14ac:dyDescent="0.2">
      <c r="D197" s="53"/>
      <c r="E197" s="50"/>
      <c r="F197" s="52"/>
      <c r="G197" s="50"/>
    </row>
    <row r="198" spans="4:7" x14ac:dyDescent="0.2">
      <c r="D198" s="53"/>
      <c r="E198" s="50"/>
      <c r="F198" s="52"/>
      <c r="G198" s="50"/>
    </row>
    <row r="199" spans="4:7" x14ac:dyDescent="0.2">
      <c r="D199" s="53"/>
      <c r="E199" s="50"/>
      <c r="F199" s="52"/>
      <c r="G199" s="50"/>
    </row>
    <row r="200" spans="4:7" x14ac:dyDescent="0.2">
      <c r="D200" s="53"/>
      <c r="E200" s="50"/>
      <c r="F200" s="52"/>
      <c r="G200" s="50"/>
    </row>
    <row r="201" spans="4:7" x14ac:dyDescent="0.2">
      <c r="D201" s="53"/>
      <c r="E201" s="50"/>
      <c r="F201" s="52"/>
      <c r="G201" s="50"/>
    </row>
    <row r="202" spans="4:7" x14ac:dyDescent="0.2">
      <c r="D202" s="53"/>
      <c r="E202" s="50"/>
      <c r="F202" s="50"/>
      <c r="G202" s="50"/>
    </row>
    <row r="203" spans="4:7" x14ac:dyDescent="0.2">
      <c r="D203" s="53"/>
      <c r="E203" s="50"/>
      <c r="F203" s="50"/>
      <c r="G203" s="50"/>
    </row>
    <row r="204" spans="4:7" x14ac:dyDescent="0.2">
      <c r="D204" s="53"/>
      <c r="E204" s="50"/>
      <c r="F204" s="50"/>
      <c r="G204" s="50"/>
    </row>
    <row r="205" spans="4:7" x14ac:dyDescent="0.2">
      <c r="D205" s="53"/>
      <c r="E205" s="50"/>
      <c r="F205" s="50"/>
      <c r="G205" s="50"/>
    </row>
    <row r="206" spans="4:7" x14ac:dyDescent="0.2">
      <c r="D206" s="53"/>
      <c r="E206" s="50"/>
      <c r="F206" s="50"/>
      <c r="G206" s="50"/>
    </row>
    <row r="207" spans="4:7" x14ac:dyDescent="0.2">
      <c r="D207" s="53"/>
      <c r="E207" s="50"/>
      <c r="F207" s="50"/>
      <c r="G207" s="50"/>
    </row>
    <row r="208" spans="4:7" x14ac:dyDescent="0.2">
      <c r="D208" s="53"/>
      <c r="E208" s="50"/>
      <c r="F208" s="50"/>
      <c r="G208" s="50"/>
    </row>
    <row r="209" spans="4:7" x14ac:dyDescent="0.2">
      <c r="D209" s="53"/>
      <c r="E209" s="50"/>
      <c r="F209" s="50"/>
      <c r="G209" s="50"/>
    </row>
    <row r="210" spans="4:7" x14ac:dyDescent="0.2">
      <c r="D210" s="53"/>
      <c r="E210" s="50"/>
      <c r="F210" s="50"/>
      <c r="G210" s="50"/>
    </row>
    <row r="211" spans="4:7" x14ac:dyDescent="0.2">
      <c r="D211" s="53"/>
      <c r="E211" s="50"/>
      <c r="F211" s="50"/>
      <c r="G211" s="50"/>
    </row>
    <row r="212" spans="4:7" x14ac:dyDescent="0.2">
      <c r="D212" s="53"/>
      <c r="E212" s="50"/>
      <c r="F212" s="50"/>
      <c r="G212" s="50"/>
    </row>
    <row r="213" spans="4:7" x14ac:dyDescent="0.2">
      <c r="D213" s="53"/>
      <c r="E213" s="50"/>
      <c r="F213" s="50"/>
      <c r="G213" s="50"/>
    </row>
    <row r="214" spans="4:7" x14ac:dyDescent="0.2">
      <c r="D214" s="53"/>
      <c r="E214" s="50"/>
      <c r="F214" s="50"/>
      <c r="G214" s="50"/>
    </row>
    <row r="215" spans="4:7" x14ac:dyDescent="0.2">
      <c r="D215" s="53"/>
      <c r="E215" s="50"/>
      <c r="F215" s="50"/>
      <c r="G215" s="50"/>
    </row>
    <row r="216" spans="4:7" x14ac:dyDescent="0.2">
      <c r="D216" s="53"/>
      <c r="E216" s="50"/>
      <c r="F216" s="50"/>
      <c r="G216" s="50"/>
    </row>
    <row r="217" spans="4:7" x14ac:dyDescent="0.2">
      <c r="D217" s="53"/>
      <c r="E217" s="50"/>
      <c r="F217" s="50"/>
      <c r="G217" s="50"/>
    </row>
    <row r="218" spans="4:7" x14ac:dyDescent="0.2">
      <c r="D218" s="53"/>
      <c r="E218" s="50"/>
      <c r="F218" s="50"/>
      <c r="G218" s="50"/>
    </row>
    <row r="219" spans="4:7" x14ac:dyDescent="0.2">
      <c r="D219" s="53"/>
      <c r="E219" s="50"/>
      <c r="F219" s="50"/>
      <c r="G219" s="50"/>
    </row>
    <row r="220" spans="4:7" x14ac:dyDescent="0.2">
      <c r="D220" s="53"/>
      <c r="E220" s="50"/>
      <c r="F220" s="50"/>
      <c r="G220" s="50"/>
    </row>
    <row r="221" spans="4:7" x14ac:dyDescent="0.2">
      <c r="D221" s="53"/>
      <c r="E221" s="50"/>
      <c r="F221" s="50"/>
      <c r="G221" s="50"/>
    </row>
    <row r="222" spans="4:7" x14ac:dyDescent="0.2">
      <c r="D222" s="53"/>
      <c r="E222" s="50"/>
      <c r="F222" s="50"/>
      <c r="G222" s="50"/>
    </row>
    <row r="223" spans="4:7" x14ac:dyDescent="0.2">
      <c r="D223" s="53"/>
      <c r="E223" s="50"/>
      <c r="F223" s="50"/>
      <c r="G223" s="50"/>
    </row>
    <row r="224" spans="4:7" x14ac:dyDescent="0.2">
      <c r="D224" s="53"/>
      <c r="E224" s="50"/>
      <c r="F224" s="50"/>
      <c r="G224" s="50"/>
    </row>
    <row r="225" spans="4:7" x14ac:dyDescent="0.2">
      <c r="D225" s="53"/>
      <c r="E225" s="53"/>
      <c r="F225" s="53"/>
      <c r="G225" s="53"/>
    </row>
    <row r="226" spans="4:7" x14ac:dyDescent="0.2">
      <c r="D226" s="53"/>
      <c r="E226" s="53"/>
      <c r="F226" s="53"/>
      <c r="G226" s="53"/>
    </row>
    <row r="227" spans="4:7" x14ac:dyDescent="0.2">
      <c r="D227" s="53"/>
      <c r="E227" s="53"/>
      <c r="F227" s="53"/>
      <c r="G227" s="53"/>
    </row>
    <row r="228" spans="4:7" x14ac:dyDescent="0.2">
      <c r="D228" s="53"/>
      <c r="E228" s="53"/>
      <c r="F228" s="53"/>
      <c r="G228" s="53"/>
    </row>
    <row r="229" spans="4:7" x14ac:dyDescent="0.2">
      <c r="D229" s="53"/>
      <c r="E229" s="53"/>
      <c r="F229" s="53"/>
      <c r="G229" s="53"/>
    </row>
    <row r="230" spans="4:7" x14ac:dyDescent="0.2">
      <c r="D230" s="53"/>
      <c r="E230" s="53"/>
      <c r="F230" s="53"/>
      <c r="G230" s="53"/>
    </row>
    <row r="231" spans="4:7" x14ac:dyDescent="0.2">
      <c r="D231" s="53"/>
      <c r="E231" s="53"/>
      <c r="F231" s="53"/>
      <c r="G231" s="53"/>
    </row>
    <row r="232" spans="4:7" x14ac:dyDescent="0.2">
      <c r="D232" s="53"/>
      <c r="E232" s="53"/>
      <c r="F232" s="53"/>
      <c r="G232" s="53"/>
    </row>
    <row r="233" spans="4:7" x14ac:dyDescent="0.2">
      <c r="D233" s="53"/>
      <c r="E233" s="53"/>
      <c r="F233" s="53"/>
      <c r="G233" s="53"/>
    </row>
    <row r="234" spans="4:7" x14ac:dyDescent="0.2">
      <c r="D234" s="53"/>
      <c r="E234" s="53"/>
      <c r="F234" s="53"/>
      <c r="G234" s="53"/>
    </row>
    <row r="235" spans="4:7" x14ac:dyDescent="0.2">
      <c r="D235" s="53"/>
      <c r="E235" s="53"/>
      <c r="F235" s="53"/>
      <c r="G235" s="53"/>
    </row>
    <row r="236" spans="4:7" x14ac:dyDescent="0.2">
      <c r="D236" s="53"/>
      <c r="E236" s="53"/>
      <c r="F236" s="53"/>
      <c r="G236" s="53"/>
    </row>
    <row r="237" spans="4:7" x14ac:dyDescent="0.2">
      <c r="D237" s="53"/>
      <c r="E237" s="53"/>
      <c r="F237" s="53"/>
      <c r="G237" s="53"/>
    </row>
    <row r="238" spans="4:7" x14ac:dyDescent="0.2">
      <c r="D238" s="53"/>
      <c r="E238" s="53"/>
      <c r="F238" s="53"/>
      <c r="G238" s="53"/>
    </row>
    <row r="239" spans="4:7" x14ac:dyDescent="0.2">
      <c r="D239" s="53"/>
      <c r="E239" s="53"/>
      <c r="F239" s="53"/>
      <c r="G239" s="53"/>
    </row>
    <row r="240" spans="4:7" x14ac:dyDescent="0.2">
      <c r="D240" s="53"/>
      <c r="E240" s="53"/>
      <c r="F240" s="53"/>
      <c r="G240" s="53"/>
    </row>
    <row r="241" spans="4:7" x14ac:dyDescent="0.2">
      <c r="D241" s="53"/>
      <c r="E241" s="53"/>
      <c r="F241" s="53"/>
      <c r="G241" s="53"/>
    </row>
    <row r="242" spans="4:7" x14ac:dyDescent="0.2">
      <c r="D242" s="53"/>
      <c r="E242" s="53"/>
      <c r="F242" s="53"/>
      <c r="G242" s="53"/>
    </row>
    <row r="243" spans="4:7" x14ac:dyDescent="0.2">
      <c r="D243" s="53"/>
      <c r="E243" s="53"/>
      <c r="F243" s="53"/>
      <c r="G243" s="53"/>
    </row>
    <row r="244" spans="4:7" x14ac:dyDescent="0.2">
      <c r="D244" s="53"/>
      <c r="E244" s="53"/>
      <c r="F244" s="53"/>
      <c r="G244" s="53"/>
    </row>
    <row r="245" spans="4:7" x14ac:dyDescent="0.2">
      <c r="D245" s="53"/>
      <c r="E245" s="53"/>
      <c r="F245" s="53"/>
      <c r="G245" s="53"/>
    </row>
    <row r="246" spans="4:7" x14ac:dyDescent="0.2">
      <c r="D246" s="53"/>
      <c r="E246" s="53"/>
      <c r="F246" s="53"/>
      <c r="G246" s="53"/>
    </row>
    <row r="247" spans="4:7" x14ac:dyDescent="0.2">
      <c r="D247" s="53"/>
      <c r="E247" s="53"/>
      <c r="F247" s="53"/>
      <c r="G247" s="53"/>
    </row>
    <row r="248" spans="4:7" x14ac:dyDescent="0.2">
      <c r="D248" s="53"/>
      <c r="E248" s="53"/>
      <c r="F248" s="53"/>
      <c r="G248" s="53"/>
    </row>
    <row r="249" spans="4:7" x14ac:dyDescent="0.2">
      <c r="D249" s="53"/>
      <c r="E249" s="53"/>
      <c r="F249" s="53"/>
      <c r="G249" s="53"/>
    </row>
    <row r="250" spans="4:7" x14ac:dyDescent="0.2">
      <c r="D250" s="53"/>
      <c r="E250" s="53"/>
      <c r="F250" s="53"/>
      <c r="G250" s="53"/>
    </row>
    <row r="251" spans="4:7" x14ac:dyDescent="0.2">
      <c r="D251" s="53"/>
      <c r="E251" s="53"/>
      <c r="F251" s="53"/>
      <c r="G251" s="53"/>
    </row>
    <row r="252" spans="4:7" x14ac:dyDescent="0.2">
      <c r="D252" s="53"/>
      <c r="E252" s="53"/>
      <c r="F252" s="53"/>
      <c r="G252" s="53"/>
    </row>
    <row r="253" spans="4:7" x14ac:dyDescent="0.2">
      <c r="D253" s="53"/>
      <c r="E253" s="53"/>
      <c r="F253" s="53"/>
      <c r="G253" s="53"/>
    </row>
    <row r="254" spans="4:7" x14ac:dyDescent="0.2">
      <c r="D254" s="53"/>
      <c r="E254" s="53"/>
      <c r="F254" s="53"/>
      <c r="G254" s="53"/>
    </row>
    <row r="255" spans="4:7" x14ac:dyDescent="0.2">
      <c r="D255" s="53"/>
      <c r="E255" s="53"/>
      <c r="F255" s="53"/>
      <c r="G255" s="53"/>
    </row>
    <row r="256" spans="4:7" x14ac:dyDescent="0.2">
      <c r="D256" s="53"/>
      <c r="E256" s="53"/>
      <c r="F256" s="53"/>
      <c r="G256" s="53"/>
    </row>
    <row r="257" spans="4:7" x14ac:dyDescent="0.2">
      <c r="D257" s="53"/>
      <c r="E257" s="53"/>
      <c r="F257" s="53"/>
      <c r="G257" s="53"/>
    </row>
    <row r="258" spans="4:7" x14ac:dyDescent="0.2">
      <c r="D258" s="53"/>
      <c r="E258" s="53"/>
      <c r="F258" s="53"/>
      <c r="G258" s="53"/>
    </row>
    <row r="259" spans="4:7" x14ac:dyDescent="0.2">
      <c r="D259" s="53"/>
      <c r="E259" s="53"/>
      <c r="F259" s="53"/>
      <c r="G259" s="53"/>
    </row>
    <row r="260" spans="4:7" x14ac:dyDescent="0.2">
      <c r="D260" s="53"/>
      <c r="E260" s="53"/>
      <c r="F260" s="53"/>
      <c r="G260" s="53"/>
    </row>
    <row r="261" spans="4:7" x14ac:dyDescent="0.2">
      <c r="D261" s="53"/>
      <c r="E261" s="53"/>
      <c r="F261" s="53"/>
      <c r="G261" s="53"/>
    </row>
    <row r="262" spans="4:7" x14ac:dyDescent="0.2">
      <c r="D262" s="53"/>
      <c r="E262" s="53"/>
      <c r="F262" s="53"/>
      <c r="G262" s="53"/>
    </row>
    <row r="263" spans="4:7" x14ac:dyDescent="0.2">
      <c r="D263" s="53"/>
      <c r="E263" s="53"/>
      <c r="F263" s="53"/>
      <c r="G263" s="53"/>
    </row>
    <row r="264" spans="4:7" x14ac:dyDescent="0.2">
      <c r="D264" s="53"/>
      <c r="E264" s="53"/>
      <c r="F264" s="53"/>
      <c r="G264" s="53"/>
    </row>
    <row r="265" spans="4:7" x14ac:dyDescent="0.2">
      <c r="D265" s="53"/>
      <c r="E265" s="53"/>
      <c r="F265" s="53"/>
      <c r="G265" s="53"/>
    </row>
    <row r="266" spans="4:7" x14ac:dyDescent="0.2">
      <c r="D266" s="53"/>
      <c r="E266" s="53"/>
      <c r="F266" s="53"/>
      <c r="G266" s="53"/>
    </row>
    <row r="267" spans="4:7" x14ac:dyDescent="0.2">
      <c r="D267" s="53"/>
      <c r="E267" s="53"/>
      <c r="F267" s="53"/>
      <c r="G267" s="53"/>
    </row>
    <row r="268" spans="4:7" x14ac:dyDescent="0.2">
      <c r="D268" s="53"/>
      <c r="E268" s="53"/>
      <c r="F268" s="53"/>
      <c r="G268" s="53"/>
    </row>
    <row r="269" spans="4:7" x14ac:dyDescent="0.2">
      <c r="D269" s="53"/>
      <c r="E269" s="53"/>
      <c r="F269" s="53"/>
      <c r="G269" s="53"/>
    </row>
    <row r="270" spans="4:7" x14ac:dyDescent="0.2">
      <c r="D270" s="53"/>
      <c r="E270" s="53"/>
      <c r="F270" s="53"/>
      <c r="G270" s="53"/>
    </row>
    <row r="271" spans="4:7" x14ac:dyDescent="0.2">
      <c r="D271" s="53"/>
      <c r="E271" s="53"/>
      <c r="F271" s="53"/>
      <c r="G271" s="53"/>
    </row>
    <row r="272" spans="4:7" x14ac:dyDescent="0.2">
      <c r="D272" s="53"/>
      <c r="E272" s="53"/>
      <c r="F272" s="53"/>
      <c r="G272" s="53"/>
    </row>
    <row r="273" spans="4:7" x14ac:dyDescent="0.2">
      <c r="D273" s="53"/>
      <c r="E273" s="53"/>
      <c r="F273" s="53"/>
      <c r="G273" s="53"/>
    </row>
    <row r="274" spans="4:7" x14ac:dyDescent="0.2">
      <c r="D274" s="53"/>
      <c r="E274" s="53"/>
      <c r="F274" s="53"/>
      <c r="G274" s="53"/>
    </row>
    <row r="275" spans="4:7" x14ac:dyDescent="0.2">
      <c r="D275" s="53"/>
      <c r="E275" s="53"/>
      <c r="F275" s="53"/>
      <c r="G275" s="53"/>
    </row>
    <row r="276" spans="4:7" x14ac:dyDescent="0.2">
      <c r="D276" s="53"/>
      <c r="E276" s="53"/>
      <c r="F276" s="53"/>
      <c r="G276" s="53"/>
    </row>
    <row r="277" spans="4:7" x14ac:dyDescent="0.2">
      <c r="D277" s="53"/>
      <c r="E277" s="53"/>
      <c r="F277" s="53"/>
      <c r="G277" s="53"/>
    </row>
    <row r="278" spans="4:7" x14ac:dyDescent="0.2">
      <c r="D278" s="53"/>
      <c r="E278" s="53"/>
      <c r="F278" s="53"/>
      <c r="G278" s="53"/>
    </row>
    <row r="279" spans="4:7" x14ac:dyDescent="0.2">
      <c r="D279" s="53"/>
      <c r="E279" s="53"/>
      <c r="F279" s="53"/>
      <c r="G279" s="53"/>
    </row>
    <row r="280" spans="4:7" x14ac:dyDescent="0.2">
      <c r="D280" s="53"/>
      <c r="E280" s="53"/>
      <c r="F280" s="53"/>
      <c r="G280" s="53"/>
    </row>
    <row r="281" spans="4:7" x14ac:dyDescent="0.2">
      <c r="D281" s="53"/>
      <c r="E281" s="53"/>
      <c r="F281" s="53"/>
      <c r="G281" s="53"/>
    </row>
    <row r="282" spans="4:7" x14ac:dyDescent="0.2">
      <c r="D282" s="53"/>
      <c r="E282" s="53"/>
      <c r="F282" s="53"/>
      <c r="G282" s="53"/>
    </row>
    <row r="283" spans="4:7" x14ac:dyDescent="0.2">
      <c r="D283" s="53"/>
      <c r="E283" s="53"/>
      <c r="F283" s="53"/>
      <c r="G283" s="53"/>
    </row>
    <row r="284" spans="4:7" x14ac:dyDescent="0.2">
      <c r="D284" s="53"/>
      <c r="E284" s="53"/>
      <c r="F284" s="53"/>
      <c r="G284" s="53"/>
    </row>
    <row r="285" spans="4:7" x14ac:dyDescent="0.2">
      <c r="D285" s="53"/>
      <c r="E285" s="53"/>
      <c r="F285" s="53"/>
      <c r="G285" s="53"/>
    </row>
    <row r="286" spans="4:7" x14ac:dyDescent="0.2">
      <c r="D286" s="53"/>
      <c r="E286" s="53"/>
      <c r="F286" s="53"/>
      <c r="G286" s="53"/>
    </row>
    <row r="287" spans="4:7" x14ac:dyDescent="0.2">
      <c r="D287" s="53"/>
      <c r="E287" s="53"/>
      <c r="F287" s="53"/>
      <c r="G287" s="53"/>
    </row>
    <row r="288" spans="4:7" x14ac:dyDescent="0.2">
      <c r="D288" s="53"/>
      <c r="E288" s="53"/>
      <c r="F288" s="53"/>
      <c r="G288" s="53"/>
    </row>
    <row r="289" spans="4:7" x14ac:dyDescent="0.2">
      <c r="D289" s="53"/>
      <c r="E289" s="53"/>
      <c r="F289" s="53"/>
      <c r="G289" s="53"/>
    </row>
    <row r="290" spans="4:7" x14ac:dyDescent="0.2">
      <c r="D290" s="53"/>
      <c r="E290" s="53"/>
      <c r="F290" s="53"/>
      <c r="G290" s="53"/>
    </row>
    <row r="291" spans="4:7" x14ac:dyDescent="0.2">
      <c r="D291" s="53"/>
      <c r="E291" s="53"/>
      <c r="F291" s="53"/>
      <c r="G291" s="53"/>
    </row>
    <row r="292" spans="4:7" x14ac:dyDescent="0.2">
      <c r="D292" s="53"/>
      <c r="E292" s="53"/>
      <c r="F292" s="53"/>
      <c r="G292" s="53"/>
    </row>
    <row r="293" spans="4:7" x14ac:dyDescent="0.2">
      <c r="D293" s="53"/>
      <c r="E293" s="53"/>
      <c r="F293" s="53"/>
      <c r="G293" s="53"/>
    </row>
    <row r="294" spans="4:7" x14ac:dyDescent="0.2">
      <c r="D294" s="53"/>
      <c r="E294" s="53"/>
      <c r="F294" s="53"/>
      <c r="G294" s="53"/>
    </row>
    <row r="295" spans="4:7" x14ac:dyDescent="0.2">
      <c r="D295" s="53"/>
      <c r="E295" s="53"/>
      <c r="F295" s="53"/>
      <c r="G295" s="53"/>
    </row>
    <row r="296" spans="4:7" x14ac:dyDescent="0.2">
      <c r="D296" s="53"/>
      <c r="E296" s="53"/>
      <c r="F296" s="53"/>
      <c r="G296" s="53"/>
    </row>
    <row r="297" spans="4:7" x14ac:dyDescent="0.2">
      <c r="D297" s="53"/>
      <c r="E297" s="53"/>
      <c r="F297" s="53"/>
      <c r="G297" s="53"/>
    </row>
    <row r="298" spans="4:7" x14ac:dyDescent="0.2">
      <c r="D298" s="53"/>
      <c r="E298" s="53"/>
      <c r="F298" s="53"/>
      <c r="G298" s="53"/>
    </row>
    <row r="299" spans="4:7" x14ac:dyDescent="0.2">
      <c r="D299" s="53"/>
      <c r="E299" s="53"/>
      <c r="F299" s="53"/>
      <c r="G299" s="53"/>
    </row>
    <row r="300" spans="4:7" x14ac:dyDescent="0.2">
      <c r="D300" s="53"/>
      <c r="E300" s="53"/>
      <c r="F300" s="53"/>
      <c r="G300" s="53"/>
    </row>
    <row r="301" spans="4:7" x14ac:dyDescent="0.2">
      <c r="D301" s="53"/>
      <c r="E301" s="53"/>
      <c r="F301" s="53"/>
      <c r="G301" s="53"/>
    </row>
    <row r="302" spans="4:7" x14ac:dyDescent="0.2">
      <c r="D302" s="53"/>
      <c r="E302" s="53"/>
      <c r="F302" s="53"/>
      <c r="G302" s="53"/>
    </row>
    <row r="303" spans="4:7" x14ac:dyDescent="0.2">
      <c r="D303" s="53"/>
      <c r="E303" s="53"/>
      <c r="F303" s="53"/>
      <c r="G303" s="53"/>
    </row>
    <row r="304" spans="4:7" x14ac:dyDescent="0.2">
      <c r="D304" s="53"/>
      <c r="E304" s="53"/>
      <c r="F304" s="53"/>
      <c r="G304" s="53"/>
    </row>
    <row r="305" spans="4:7" x14ac:dyDescent="0.2">
      <c r="D305" s="53"/>
      <c r="E305" s="53"/>
      <c r="F305" s="53"/>
      <c r="G305" s="53"/>
    </row>
    <row r="306" spans="4:7" x14ac:dyDescent="0.2">
      <c r="D306" s="53"/>
      <c r="E306" s="53"/>
      <c r="F306" s="53"/>
      <c r="G306" s="53"/>
    </row>
    <row r="307" spans="4:7" x14ac:dyDescent="0.2">
      <c r="D307" s="53"/>
      <c r="E307" s="53"/>
      <c r="F307" s="53"/>
      <c r="G307" s="53"/>
    </row>
    <row r="308" spans="4:7" x14ac:dyDescent="0.2">
      <c r="D308" s="53"/>
      <c r="E308" s="53"/>
      <c r="F308" s="53"/>
      <c r="G308" s="53"/>
    </row>
    <row r="309" spans="4:7" x14ac:dyDescent="0.2">
      <c r="D309" s="53"/>
      <c r="E309" s="53"/>
      <c r="F309" s="53"/>
      <c r="G309" s="53"/>
    </row>
    <row r="310" spans="4:7" x14ac:dyDescent="0.2">
      <c r="D310" s="53"/>
      <c r="E310" s="53"/>
      <c r="F310" s="53"/>
      <c r="G310" s="53"/>
    </row>
    <row r="311" spans="4:7" x14ac:dyDescent="0.2">
      <c r="D311" s="53"/>
      <c r="E311" s="53"/>
      <c r="F311" s="53"/>
      <c r="G311" s="53"/>
    </row>
    <row r="312" spans="4:7" x14ac:dyDescent="0.2">
      <c r="D312" s="53"/>
      <c r="E312" s="53"/>
      <c r="F312" s="53"/>
      <c r="G312" s="53"/>
    </row>
    <row r="313" spans="4:7" x14ac:dyDescent="0.2">
      <c r="D313" s="53"/>
      <c r="E313" s="53"/>
      <c r="F313" s="53"/>
      <c r="G313" s="53"/>
    </row>
    <row r="314" spans="4:7" x14ac:dyDescent="0.2">
      <c r="D314" s="53"/>
      <c r="E314" s="53"/>
      <c r="F314" s="53"/>
      <c r="G314" s="53"/>
    </row>
    <row r="315" spans="4:7" x14ac:dyDescent="0.2">
      <c r="D315" s="53"/>
      <c r="E315" s="53"/>
      <c r="F315" s="53"/>
      <c r="G315" s="53"/>
    </row>
    <row r="316" spans="4:7" x14ac:dyDescent="0.2">
      <c r="D316" s="53"/>
      <c r="E316" s="53"/>
      <c r="F316" s="53"/>
      <c r="G316" s="53"/>
    </row>
    <row r="317" spans="4:7" x14ac:dyDescent="0.2">
      <c r="D317" s="53"/>
      <c r="E317" s="53"/>
      <c r="F317" s="53"/>
      <c r="G317" s="53"/>
    </row>
    <row r="318" spans="4:7" x14ac:dyDescent="0.2">
      <c r="D318" s="53"/>
      <c r="E318" s="53"/>
      <c r="F318" s="53"/>
      <c r="G318" s="53"/>
    </row>
    <row r="319" spans="4:7" x14ac:dyDescent="0.2">
      <c r="D319" s="53"/>
      <c r="E319" s="53"/>
      <c r="F319" s="53"/>
      <c r="G319" s="53"/>
    </row>
    <row r="320" spans="4:7" x14ac:dyDescent="0.2">
      <c r="D320" s="53"/>
      <c r="E320" s="53"/>
      <c r="F320" s="53"/>
      <c r="G320" s="53"/>
    </row>
    <row r="321" spans="4:7" x14ac:dyDescent="0.2">
      <c r="D321" s="53"/>
      <c r="E321" s="53"/>
      <c r="F321" s="53"/>
      <c r="G321" s="53"/>
    </row>
    <row r="322" spans="4:7" x14ac:dyDescent="0.2">
      <c r="D322" s="53"/>
      <c r="E322" s="53"/>
      <c r="F322" s="53"/>
      <c r="G322" s="53"/>
    </row>
    <row r="323" spans="4:7" x14ac:dyDescent="0.2">
      <c r="D323" s="53"/>
      <c r="E323" s="53"/>
      <c r="F323" s="53"/>
      <c r="G323" s="53"/>
    </row>
    <row r="324" spans="4:7" x14ac:dyDescent="0.2">
      <c r="D324" s="53"/>
      <c r="E324" s="53"/>
      <c r="F324" s="53"/>
      <c r="G324" s="53"/>
    </row>
    <row r="325" spans="4:7" x14ac:dyDescent="0.2">
      <c r="D325" s="53"/>
      <c r="E325" s="53"/>
      <c r="F325" s="53"/>
      <c r="G325" s="53"/>
    </row>
    <row r="326" spans="4:7" x14ac:dyDescent="0.2">
      <c r="D326" s="53"/>
      <c r="E326" s="53"/>
      <c r="F326" s="53"/>
      <c r="G326" s="53"/>
    </row>
    <row r="327" spans="4:7" x14ac:dyDescent="0.2">
      <c r="D327" s="53"/>
      <c r="E327" s="53"/>
      <c r="F327" s="53"/>
      <c r="G327" s="53"/>
    </row>
    <row r="328" spans="4:7" x14ac:dyDescent="0.2">
      <c r="D328" s="53"/>
      <c r="E328" s="53"/>
      <c r="F328" s="53"/>
      <c r="G328" s="53"/>
    </row>
    <row r="329" spans="4:7" x14ac:dyDescent="0.2">
      <c r="D329" s="53"/>
      <c r="E329" s="53"/>
      <c r="F329" s="53"/>
      <c r="G329" s="53"/>
    </row>
    <row r="330" spans="4:7" x14ac:dyDescent="0.2">
      <c r="D330" s="53"/>
      <c r="E330" s="53"/>
      <c r="F330" s="53"/>
      <c r="G330" s="53"/>
    </row>
    <row r="331" spans="4:7" x14ac:dyDescent="0.2">
      <c r="D331" s="53"/>
      <c r="E331" s="53"/>
      <c r="F331" s="53"/>
      <c r="G331" s="53"/>
    </row>
    <row r="332" spans="4:7" x14ac:dyDescent="0.2">
      <c r="D332" s="53"/>
      <c r="E332" s="53"/>
      <c r="F332" s="53"/>
      <c r="G332" s="53"/>
    </row>
    <row r="333" spans="4:7" x14ac:dyDescent="0.2">
      <c r="D333" s="53"/>
      <c r="E333" s="53"/>
      <c r="F333" s="53"/>
      <c r="G333" s="53"/>
    </row>
    <row r="334" spans="4:7" x14ac:dyDescent="0.2">
      <c r="D334" s="53"/>
      <c r="E334" s="53"/>
      <c r="F334" s="53"/>
      <c r="G334" s="53"/>
    </row>
    <row r="335" spans="4:7" x14ac:dyDescent="0.2">
      <c r="D335" s="53"/>
      <c r="E335" s="53"/>
      <c r="F335" s="53"/>
      <c r="G335" s="53"/>
    </row>
    <row r="336" spans="4:7" x14ac:dyDescent="0.2">
      <c r="D336" s="53"/>
      <c r="E336" s="53"/>
      <c r="F336" s="53"/>
      <c r="G336" s="53"/>
    </row>
    <row r="337" spans="4:7" x14ac:dyDescent="0.2">
      <c r="D337" s="53"/>
      <c r="E337" s="53"/>
      <c r="F337" s="53"/>
      <c r="G337" s="53"/>
    </row>
    <row r="338" spans="4:7" x14ac:dyDescent="0.2">
      <c r="D338" s="53"/>
      <c r="E338" s="53"/>
      <c r="F338" s="53"/>
      <c r="G338" s="53"/>
    </row>
    <row r="339" spans="4:7" x14ac:dyDescent="0.2">
      <c r="D339" s="53"/>
      <c r="E339" s="53"/>
      <c r="F339" s="53"/>
      <c r="G339" s="53"/>
    </row>
    <row r="340" spans="4:7" x14ac:dyDescent="0.2">
      <c r="D340" s="53"/>
      <c r="E340" s="53"/>
      <c r="F340" s="53"/>
      <c r="G340" s="53"/>
    </row>
    <row r="341" spans="4:7" x14ac:dyDescent="0.2">
      <c r="D341" s="53"/>
      <c r="E341" s="53"/>
      <c r="F341" s="53"/>
      <c r="G341" s="53"/>
    </row>
    <row r="342" spans="4:7" x14ac:dyDescent="0.2">
      <c r="D342" s="53"/>
      <c r="E342" s="53"/>
      <c r="F342" s="53"/>
      <c r="G342" s="53"/>
    </row>
    <row r="343" spans="4:7" x14ac:dyDescent="0.2">
      <c r="D343" s="53"/>
      <c r="E343" s="53"/>
      <c r="F343" s="53"/>
      <c r="G343" s="53"/>
    </row>
    <row r="344" spans="4:7" x14ac:dyDescent="0.2">
      <c r="D344" s="53"/>
      <c r="E344" s="53"/>
      <c r="F344" s="53"/>
      <c r="G344" s="53"/>
    </row>
    <row r="345" spans="4:7" x14ac:dyDescent="0.2">
      <c r="D345" s="53"/>
      <c r="E345" s="53"/>
      <c r="F345" s="53"/>
      <c r="G345" s="53"/>
    </row>
    <row r="346" spans="4:7" x14ac:dyDescent="0.2">
      <c r="D346" s="53"/>
      <c r="E346" s="53"/>
      <c r="F346" s="53"/>
      <c r="G346" s="53"/>
    </row>
    <row r="347" spans="4:7" x14ac:dyDescent="0.2">
      <c r="D347" s="53"/>
      <c r="E347" s="53"/>
      <c r="F347" s="53"/>
      <c r="G347" s="53"/>
    </row>
    <row r="348" spans="4:7" x14ac:dyDescent="0.2">
      <c r="D348" s="53"/>
      <c r="E348" s="53"/>
      <c r="F348" s="53"/>
      <c r="G348" s="53"/>
    </row>
    <row r="349" spans="4:7" x14ac:dyDescent="0.2">
      <c r="D349" s="53"/>
      <c r="E349" s="53"/>
      <c r="F349" s="53"/>
      <c r="G349" s="53"/>
    </row>
    <row r="350" spans="4:7" x14ac:dyDescent="0.2">
      <c r="D350" s="53"/>
      <c r="E350" s="53"/>
      <c r="F350" s="53"/>
      <c r="G350" s="53"/>
    </row>
    <row r="351" spans="4:7" x14ac:dyDescent="0.2">
      <c r="D351" s="53"/>
      <c r="E351" s="53"/>
      <c r="F351" s="53"/>
      <c r="G351" s="53"/>
    </row>
    <row r="352" spans="4:7" x14ac:dyDescent="0.2">
      <c r="D352" s="53"/>
      <c r="E352" s="53"/>
      <c r="F352" s="53"/>
      <c r="G352" s="53"/>
    </row>
    <row r="353" spans="4:7" x14ac:dyDescent="0.2">
      <c r="D353" s="53"/>
      <c r="E353" s="53"/>
      <c r="F353" s="53"/>
      <c r="G353" s="53"/>
    </row>
    <row r="354" spans="4:7" x14ac:dyDescent="0.2">
      <c r="D354" s="53"/>
      <c r="E354" s="53"/>
      <c r="F354" s="53"/>
      <c r="G354" s="53"/>
    </row>
    <row r="355" spans="4:7" x14ac:dyDescent="0.2">
      <c r="D355" s="53"/>
      <c r="E355" s="53"/>
      <c r="F355" s="53"/>
      <c r="G355" s="53"/>
    </row>
    <row r="356" spans="4:7" x14ac:dyDescent="0.2">
      <c r="D356" s="53"/>
      <c r="E356" s="53"/>
      <c r="F356" s="53"/>
      <c r="G356" s="53"/>
    </row>
    <row r="357" spans="4:7" x14ac:dyDescent="0.2">
      <c r="D357" s="53"/>
      <c r="E357" s="53"/>
      <c r="F357" s="53"/>
      <c r="G357" s="53"/>
    </row>
    <row r="358" spans="4:7" x14ac:dyDescent="0.2">
      <c r="D358" s="53"/>
      <c r="E358" s="53"/>
      <c r="F358" s="53"/>
      <c r="G358" s="53"/>
    </row>
    <row r="359" spans="4:7" x14ac:dyDescent="0.2">
      <c r="D359" s="53"/>
      <c r="E359" s="53"/>
      <c r="F359" s="53"/>
      <c r="G359" s="53"/>
    </row>
    <row r="360" spans="4:7" x14ac:dyDescent="0.2">
      <c r="D360" s="53"/>
      <c r="E360" s="53"/>
      <c r="F360" s="53"/>
      <c r="G360" s="53"/>
    </row>
    <row r="361" spans="4:7" x14ac:dyDescent="0.2">
      <c r="D361" s="53"/>
      <c r="E361" s="53"/>
      <c r="F361" s="53"/>
      <c r="G361" s="53"/>
    </row>
    <row r="362" spans="4:7" x14ac:dyDescent="0.2">
      <c r="D362" s="53"/>
      <c r="E362" s="53"/>
      <c r="F362" s="53"/>
      <c r="G362" s="53"/>
    </row>
    <row r="363" spans="4:7" x14ac:dyDescent="0.2">
      <c r="D363" s="53"/>
      <c r="E363" s="53"/>
      <c r="F363" s="53"/>
      <c r="G363" s="53"/>
    </row>
    <row r="364" spans="4:7" x14ac:dyDescent="0.2">
      <c r="D364" s="53"/>
      <c r="E364" s="53"/>
      <c r="F364" s="53"/>
      <c r="G364" s="53"/>
    </row>
    <row r="365" spans="4:7" x14ac:dyDescent="0.2">
      <c r="D365" s="53"/>
      <c r="E365" s="53"/>
      <c r="F365" s="53"/>
      <c r="G365" s="53"/>
    </row>
    <row r="366" spans="4:7" x14ac:dyDescent="0.2">
      <c r="D366" s="53"/>
      <c r="E366" s="53"/>
      <c r="F366" s="53"/>
      <c r="G366" s="53"/>
    </row>
    <row r="367" spans="4:7" x14ac:dyDescent="0.2">
      <c r="D367" s="53"/>
      <c r="E367" s="53"/>
      <c r="F367" s="53"/>
      <c r="G367" s="53"/>
    </row>
    <row r="368" spans="4:7" x14ac:dyDescent="0.2">
      <c r="D368" s="53"/>
      <c r="E368" s="53"/>
      <c r="F368" s="53"/>
      <c r="G368" s="53"/>
    </row>
    <row r="369" spans="4:7" x14ac:dyDescent="0.2">
      <c r="D369" s="53"/>
      <c r="E369" s="53"/>
      <c r="F369" s="53"/>
      <c r="G369" s="53"/>
    </row>
    <row r="370" spans="4:7" x14ac:dyDescent="0.2">
      <c r="D370" s="53"/>
      <c r="E370" s="53"/>
      <c r="F370" s="53"/>
      <c r="G370" s="53"/>
    </row>
    <row r="371" spans="4:7" x14ac:dyDescent="0.2">
      <c r="D371" s="53"/>
      <c r="E371" s="53"/>
      <c r="F371" s="53"/>
      <c r="G371" s="53"/>
    </row>
    <row r="372" spans="4:7" x14ac:dyDescent="0.2">
      <c r="D372" s="53"/>
      <c r="E372" s="53"/>
      <c r="F372" s="53"/>
      <c r="G372" s="53"/>
    </row>
    <row r="373" spans="4:7" x14ac:dyDescent="0.2">
      <c r="D373" s="53"/>
      <c r="E373" s="53"/>
      <c r="F373" s="53"/>
      <c r="G373" s="53"/>
    </row>
    <row r="374" spans="4:7" x14ac:dyDescent="0.2">
      <c r="D374" s="53"/>
      <c r="E374" s="53"/>
      <c r="F374" s="53"/>
      <c r="G374" s="53"/>
    </row>
    <row r="375" spans="4:7" x14ac:dyDescent="0.2">
      <c r="D375" s="53"/>
      <c r="E375" s="53"/>
      <c r="F375" s="53"/>
      <c r="G375" s="53"/>
    </row>
    <row r="376" spans="4:7" x14ac:dyDescent="0.2">
      <c r="D376" s="53"/>
      <c r="E376" s="53"/>
      <c r="F376" s="53"/>
      <c r="G376" s="53"/>
    </row>
    <row r="377" spans="4:7" x14ac:dyDescent="0.2">
      <c r="D377" s="53"/>
      <c r="E377" s="53"/>
      <c r="F377" s="53"/>
      <c r="G377" s="53"/>
    </row>
    <row r="378" spans="4:7" x14ac:dyDescent="0.2">
      <c r="D378" s="53"/>
      <c r="E378" s="53"/>
      <c r="F378" s="53"/>
      <c r="G378" s="53"/>
    </row>
    <row r="379" spans="4:7" x14ac:dyDescent="0.2">
      <c r="D379" s="53"/>
      <c r="E379" s="53"/>
      <c r="F379" s="53"/>
      <c r="G379" s="53"/>
    </row>
    <row r="380" spans="4:7" x14ac:dyDescent="0.2">
      <c r="D380" s="53"/>
      <c r="E380" s="53"/>
      <c r="F380" s="53"/>
      <c r="G380" s="53"/>
    </row>
    <row r="381" spans="4:7" x14ac:dyDescent="0.2">
      <c r="D381" s="53"/>
      <c r="E381" s="53"/>
      <c r="F381" s="53"/>
      <c r="G381" s="53"/>
    </row>
    <row r="382" spans="4:7" x14ac:dyDescent="0.2">
      <c r="D382" s="53"/>
      <c r="E382" s="53"/>
      <c r="F382" s="53"/>
      <c r="G382" s="53"/>
    </row>
    <row r="383" spans="4:7" x14ac:dyDescent="0.2">
      <c r="D383" s="53"/>
      <c r="E383" s="53"/>
      <c r="F383" s="53"/>
      <c r="G383" s="53"/>
    </row>
    <row r="384" spans="4:7" x14ac:dyDescent="0.2">
      <c r="D384" s="53"/>
      <c r="E384" s="53"/>
      <c r="F384" s="53"/>
      <c r="G384" s="53"/>
    </row>
    <row r="385" spans="4:7" x14ac:dyDescent="0.2">
      <c r="D385" s="53"/>
      <c r="E385" s="53"/>
      <c r="F385" s="53"/>
      <c r="G385" s="53"/>
    </row>
    <row r="386" spans="4:7" x14ac:dyDescent="0.2">
      <c r="D386" s="53"/>
      <c r="E386" s="53"/>
      <c r="F386" s="53"/>
      <c r="G386" s="53"/>
    </row>
    <row r="387" spans="4:7" x14ac:dyDescent="0.2">
      <c r="D387" s="53"/>
      <c r="E387" s="53"/>
      <c r="F387" s="53"/>
      <c r="G387" s="53"/>
    </row>
    <row r="388" spans="4:7" x14ac:dyDescent="0.2">
      <c r="D388" s="53"/>
      <c r="E388" s="53"/>
      <c r="F388" s="53"/>
      <c r="G388" s="53"/>
    </row>
    <row r="389" spans="4:7" x14ac:dyDescent="0.2">
      <c r="D389" s="53"/>
      <c r="E389" s="53"/>
      <c r="F389" s="53"/>
      <c r="G389" s="53"/>
    </row>
    <row r="390" spans="4:7" x14ac:dyDescent="0.2">
      <c r="D390" s="53"/>
      <c r="E390" s="53"/>
      <c r="F390" s="53"/>
      <c r="G390" s="53"/>
    </row>
    <row r="391" spans="4:7" x14ac:dyDescent="0.2">
      <c r="D391" s="53"/>
      <c r="E391" s="53"/>
      <c r="F391" s="53"/>
      <c r="G391" s="53"/>
    </row>
    <row r="392" spans="4:7" x14ac:dyDescent="0.2">
      <c r="D392" s="53"/>
      <c r="E392" s="53"/>
      <c r="F392" s="53"/>
      <c r="G392" s="53"/>
    </row>
    <row r="393" spans="4:7" x14ac:dyDescent="0.2">
      <c r="D393" s="53"/>
      <c r="E393" s="53"/>
      <c r="F393" s="53"/>
      <c r="G393" s="53"/>
    </row>
    <row r="394" spans="4:7" x14ac:dyDescent="0.2">
      <c r="D394" s="53"/>
      <c r="E394" s="53"/>
      <c r="F394" s="53"/>
      <c r="G394" s="53"/>
    </row>
    <row r="395" spans="4:7" x14ac:dyDescent="0.2">
      <c r="D395" s="53"/>
      <c r="E395" s="53"/>
      <c r="F395" s="53"/>
      <c r="G395" s="53"/>
    </row>
    <row r="396" spans="4:7" x14ac:dyDescent="0.2">
      <c r="D396" s="53"/>
      <c r="E396" s="53"/>
      <c r="F396" s="53"/>
      <c r="G396" s="53"/>
    </row>
    <row r="397" spans="4:7" x14ac:dyDescent="0.2">
      <c r="D397" s="53"/>
      <c r="E397" s="53"/>
      <c r="F397" s="53"/>
      <c r="G397" s="53"/>
    </row>
    <row r="398" spans="4:7" x14ac:dyDescent="0.2">
      <c r="D398" s="53"/>
      <c r="E398" s="53"/>
      <c r="F398" s="53"/>
      <c r="G398" s="53"/>
    </row>
    <row r="399" spans="4:7" x14ac:dyDescent="0.2">
      <c r="D399" s="53"/>
      <c r="E399" s="53"/>
      <c r="F399" s="53"/>
      <c r="G399" s="53"/>
    </row>
    <row r="400" spans="4:7" x14ac:dyDescent="0.2">
      <c r="D400" s="53"/>
      <c r="E400" s="53"/>
      <c r="F400" s="53"/>
      <c r="G400" s="53"/>
    </row>
    <row r="401" spans="4:7" x14ac:dyDescent="0.2">
      <c r="D401" s="53"/>
      <c r="E401" s="53"/>
      <c r="F401" s="53"/>
      <c r="G401" s="53"/>
    </row>
    <row r="402" spans="4:7" x14ac:dyDescent="0.2">
      <c r="D402" s="53"/>
      <c r="E402" s="53"/>
      <c r="F402" s="53"/>
      <c r="G402" s="53"/>
    </row>
    <row r="403" spans="4:7" x14ac:dyDescent="0.2">
      <c r="D403" s="53"/>
      <c r="E403" s="53"/>
      <c r="F403" s="53"/>
      <c r="G403" s="53"/>
    </row>
    <row r="404" spans="4:7" x14ac:dyDescent="0.2">
      <c r="D404" s="53"/>
      <c r="E404" s="53"/>
      <c r="F404" s="53"/>
      <c r="G404" s="53"/>
    </row>
    <row r="405" spans="4:7" x14ac:dyDescent="0.2">
      <c r="D405" s="53"/>
      <c r="E405" s="53"/>
      <c r="F405" s="53"/>
      <c r="G405" s="53"/>
    </row>
    <row r="406" spans="4:7" x14ac:dyDescent="0.2">
      <c r="D406" s="53"/>
      <c r="E406" s="53"/>
      <c r="F406" s="53"/>
      <c r="G406" s="53"/>
    </row>
    <row r="407" spans="4:7" x14ac:dyDescent="0.2">
      <c r="D407" s="53"/>
      <c r="E407" s="53"/>
      <c r="F407" s="53"/>
      <c r="G407" s="53"/>
    </row>
    <row r="408" spans="4:7" x14ac:dyDescent="0.2">
      <c r="D408" s="53"/>
      <c r="E408" s="53"/>
      <c r="F408" s="53"/>
      <c r="G408" s="53"/>
    </row>
    <row r="409" spans="4:7" x14ac:dyDescent="0.2">
      <c r="D409" s="53"/>
      <c r="E409" s="53"/>
      <c r="F409" s="53"/>
      <c r="G409" s="53"/>
    </row>
    <row r="410" spans="4:7" x14ac:dyDescent="0.2">
      <c r="D410" s="53"/>
      <c r="E410" s="53"/>
      <c r="F410" s="53"/>
      <c r="G410" s="53"/>
    </row>
    <row r="411" spans="4:7" x14ac:dyDescent="0.2">
      <c r="D411" s="53"/>
      <c r="E411" s="53"/>
      <c r="F411" s="53"/>
      <c r="G411" s="53"/>
    </row>
    <row r="412" spans="4:7" x14ac:dyDescent="0.2">
      <c r="D412" s="53"/>
      <c r="E412" s="53"/>
      <c r="F412" s="53"/>
      <c r="G412" s="53"/>
    </row>
    <row r="413" spans="4:7" x14ac:dyDescent="0.2">
      <c r="D413" s="53"/>
      <c r="E413" s="53"/>
      <c r="F413" s="53"/>
      <c r="G413" s="53"/>
    </row>
    <row r="414" spans="4:7" x14ac:dyDescent="0.2">
      <c r="D414" s="53"/>
      <c r="E414" s="53"/>
      <c r="F414" s="53"/>
      <c r="G414" s="53"/>
    </row>
    <row r="415" spans="4:7" x14ac:dyDescent="0.2">
      <c r="D415" s="53"/>
      <c r="E415" s="53"/>
      <c r="F415" s="53"/>
      <c r="G415" s="53"/>
    </row>
    <row r="416" spans="4:7" x14ac:dyDescent="0.2">
      <c r="D416" s="53"/>
      <c r="E416" s="53"/>
      <c r="F416" s="53"/>
      <c r="G416" s="53"/>
    </row>
  </sheetData>
  <sheetProtection password="F507" sheet="1" objects="1" scenarios="1"/>
  <mergeCells count="3">
    <mergeCell ref="F66:G66"/>
    <mergeCell ref="F67:G67"/>
    <mergeCell ref="D70:H70"/>
  </mergeCells>
  <phoneticPr fontId="2" type="noConversion"/>
  <dataValidations xWindow="256" yWindow="130" count="4">
    <dataValidation allowBlank="1" showInputMessage="1" showErrorMessage="1" promptTitle="Filling in series" prompt="Use the Excel Autofill option to fill in series. Enter the first elements in the list. Select these elements and drag the little square in the lower right corner to extend the list._x000a_" sqref="F66"/>
    <dataValidation allowBlank="1" showInputMessage="1" showErrorMessage="1" promptTitle="Number series" prompt="To have 2 digits for e.g. 03, enter the number as string:    '03_x000a_The  '  character is the Excel symbol for string." sqref="F67"/>
    <dataValidation allowBlank="1" showInputMessage="1" showErrorMessage="1" promptTitle="Valid sections and materials" prompt="Enter the Genie command to define valid cross sections and materials for this project. The name given in the Valid column will appear in the pulldown lists in this wizard and is used to define sections and materials for the beams." sqref="C7"/>
    <dataValidation allowBlank="1" showInputMessage="1" showErrorMessage="1" promptTitle="Names in Framework" prompt="Names to be read by Framework may have up to 8 characters. This means that the sum of the 4 string elements must be 8 characters or less." sqref="D70:H70"/>
  </dataValidation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38"/>
  <sheetViews>
    <sheetView showRowColHeaders="0" topLeftCell="A47" workbookViewId="0"/>
  </sheetViews>
  <sheetFormatPr defaultRowHeight="12.75" x14ac:dyDescent="0.2"/>
  <cols>
    <col min="1" max="1" width="109.5703125" style="71" bestFit="1" customWidth="1"/>
    <col min="2" max="2" width="163.28515625" style="58" customWidth="1"/>
    <col min="3" max="3" width="35.7109375" style="58" customWidth="1"/>
    <col min="4" max="16384" width="9.140625" style="58"/>
  </cols>
  <sheetData>
    <row r="1" spans="1:2" x14ac:dyDescent="0.2">
      <c r="A1" s="71" t="s">
        <v>527</v>
      </c>
      <c r="B1" s="58" t="s">
        <v>84</v>
      </c>
    </row>
    <row r="2" spans="1:2" x14ac:dyDescent="0.2">
      <c r="A2" s="71" t="s">
        <v>529</v>
      </c>
      <c r="B2" s="58" t="s">
        <v>89</v>
      </c>
    </row>
    <row r="3" spans="1:2" x14ac:dyDescent="0.2">
      <c r="A3" s="71" t="s">
        <v>51</v>
      </c>
      <c r="B3" s="72" t="s">
        <v>90</v>
      </c>
    </row>
    <row r="4" spans="1:2" x14ac:dyDescent="0.2">
      <c r="A4" s="71" t="s">
        <v>350</v>
      </c>
      <c r="B4" s="72" t="s">
        <v>85</v>
      </c>
    </row>
    <row r="5" spans="1:2" x14ac:dyDescent="0.2">
      <c r="A5" s="71" t="s">
        <v>351</v>
      </c>
      <c r="B5" s="72" t="s">
        <v>85</v>
      </c>
    </row>
    <row r="6" spans="1:2" x14ac:dyDescent="0.2">
      <c r="A6" s="71" t="s">
        <v>337</v>
      </c>
      <c r="B6" s="72" t="s">
        <v>87</v>
      </c>
    </row>
    <row r="7" spans="1:2" x14ac:dyDescent="0.2">
      <c r="A7" s="71" t="s">
        <v>327</v>
      </c>
      <c r="B7" s="72" t="s">
        <v>86</v>
      </c>
    </row>
    <row r="8" spans="1:2" x14ac:dyDescent="0.2">
      <c r="A8" s="71" t="s">
        <v>59</v>
      </c>
      <c r="B8" s="72" t="s">
        <v>88</v>
      </c>
    </row>
    <row r="9" spans="1:2" x14ac:dyDescent="0.2">
      <c r="A9" s="71" t="s">
        <v>426</v>
      </c>
      <c r="B9" s="72" t="s">
        <v>250</v>
      </c>
    </row>
    <row r="10" spans="1:2" x14ac:dyDescent="0.2">
      <c r="A10" s="71" t="s">
        <v>427</v>
      </c>
      <c r="B10" s="72" t="s">
        <v>51</v>
      </c>
    </row>
    <row r="11" spans="1:2" x14ac:dyDescent="0.2">
      <c r="A11" s="71" t="s">
        <v>428</v>
      </c>
      <c r="B11" s="58" t="s">
        <v>51</v>
      </c>
    </row>
    <row r="12" spans="1:2" x14ac:dyDescent="0.2">
      <c r="A12" s="71" t="s">
        <v>429</v>
      </c>
      <c r="B12" s="58" t="s">
        <v>112</v>
      </c>
    </row>
    <row r="13" spans="1:2" x14ac:dyDescent="0.2">
      <c r="A13" s="71" t="s">
        <v>430</v>
      </c>
      <c r="B13" s="58" t="s">
        <v>113</v>
      </c>
    </row>
    <row r="14" spans="1:2" x14ac:dyDescent="0.2">
      <c r="A14" s="71" t="s">
        <v>437</v>
      </c>
      <c r="B14" s="58" t="s">
        <v>114</v>
      </c>
    </row>
    <row r="15" spans="1:2" x14ac:dyDescent="0.2">
      <c r="A15" s="71" t="s">
        <v>439</v>
      </c>
      <c r="B15" s="58" t="s">
        <v>115</v>
      </c>
    </row>
    <row r="16" spans="1:2" x14ac:dyDescent="0.2">
      <c r="A16" s="71" t="s">
        <v>442</v>
      </c>
      <c r="B16" s="58" t="s">
        <v>109</v>
      </c>
    </row>
    <row r="17" spans="1:2" x14ac:dyDescent="0.2">
      <c r="A17" s="71" t="s">
        <v>440</v>
      </c>
      <c r="B17" s="58" t="s">
        <v>51</v>
      </c>
    </row>
    <row r="18" spans="1:2" x14ac:dyDescent="0.2">
      <c r="A18" s="71" t="s">
        <v>51</v>
      </c>
      <c r="B18" s="58" t="s">
        <v>251</v>
      </c>
    </row>
    <row r="19" spans="1:2" x14ac:dyDescent="0.2">
      <c r="A19" s="71" t="s">
        <v>448</v>
      </c>
      <c r="B19" s="58" t="s">
        <v>66</v>
      </c>
    </row>
    <row r="20" spans="1:2" x14ac:dyDescent="0.2">
      <c r="A20" s="71" t="s">
        <v>449</v>
      </c>
      <c r="B20" s="58" t="s">
        <v>67</v>
      </c>
    </row>
    <row r="21" spans="1:2" x14ac:dyDescent="0.2">
      <c r="A21" s="71" t="s">
        <v>450</v>
      </c>
      <c r="B21" s="58" t="s">
        <v>252</v>
      </c>
    </row>
    <row r="22" spans="1:2" x14ac:dyDescent="0.2">
      <c r="A22" s="71" t="s">
        <v>451</v>
      </c>
      <c r="B22" s="58" t="s">
        <v>253</v>
      </c>
    </row>
    <row r="23" spans="1:2" x14ac:dyDescent="0.2">
      <c r="A23" s="71" t="s">
        <v>452</v>
      </c>
      <c r="B23" s="58" t="s">
        <v>254</v>
      </c>
    </row>
    <row r="24" spans="1:2" x14ac:dyDescent="0.2">
      <c r="A24" s="71" t="s">
        <v>419</v>
      </c>
      <c r="B24" s="58" t="s">
        <v>68</v>
      </c>
    </row>
    <row r="25" spans="1:2" x14ac:dyDescent="0.2">
      <c r="A25" s="71" t="s">
        <v>60</v>
      </c>
      <c r="B25" s="58" t="s">
        <v>69</v>
      </c>
    </row>
    <row r="26" spans="1:2" x14ac:dyDescent="0.2">
      <c r="A26" s="71" t="s">
        <v>445</v>
      </c>
      <c r="B26" s="58" t="s">
        <v>142</v>
      </c>
    </row>
    <row r="27" spans="1:2" x14ac:dyDescent="0.2">
      <c r="A27" s="71" t="s">
        <v>446</v>
      </c>
      <c r="B27" s="58" t="s">
        <v>116</v>
      </c>
    </row>
    <row r="28" spans="1:2" x14ac:dyDescent="0.2">
      <c r="A28" s="71" t="s">
        <v>447</v>
      </c>
      <c r="B28" s="58" t="s">
        <v>117</v>
      </c>
    </row>
    <row r="29" spans="1:2" x14ac:dyDescent="0.2">
      <c r="A29" s="71" t="s">
        <v>483</v>
      </c>
      <c r="B29" s="58" t="s">
        <v>255</v>
      </c>
    </row>
    <row r="30" spans="1:2" x14ac:dyDescent="0.2">
      <c r="A30" s="71" t="s">
        <v>484</v>
      </c>
      <c r="B30" s="58" t="s">
        <v>256</v>
      </c>
    </row>
    <row r="31" spans="1:2" x14ac:dyDescent="0.2">
      <c r="A31" s="71" t="s">
        <v>453</v>
      </c>
      <c r="B31" s="58" t="s">
        <v>70</v>
      </c>
    </row>
    <row r="32" spans="1:2" x14ac:dyDescent="0.2">
      <c r="A32" s="71" t="s">
        <v>454</v>
      </c>
      <c r="B32" s="58" t="s">
        <v>310</v>
      </c>
    </row>
    <row r="33" spans="1:2" x14ac:dyDescent="0.2">
      <c r="A33" s="71" t="s">
        <v>104</v>
      </c>
      <c r="B33" s="58" t="s">
        <v>311</v>
      </c>
    </row>
    <row r="34" spans="1:2" x14ac:dyDescent="0.2">
      <c r="A34" s="71" t="s">
        <v>52</v>
      </c>
      <c r="B34" s="58" t="s">
        <v>312</v>
      </c>
    </row>
    <row r="35" spans="1:2" x14ac:dyDescent="0.2">
      <c r="A35" s="71" t="s">
        <v>55</v>
      </c>
      <c r="B35" s="58" t="s">
        <v>257</v>
      </c>
    </row>
    <row r="36" spans="1:2" x14ac:dyDescent="0.2">
      <c r="A36" s="71" t="s">
        <v>56</v>
      </c>
      <c r="B36" s="58" t="s">
        <v>258</v>
      </c>
    </row>
    <row r="37" spans="1:2" x14ac:dyDescent="0.2">
      <c r="A37" s="71" t="s">
        <v>57</v>
      </c>
      <c r="B37" s="58" t="s">
        <v>71</v>
      </c>
    </row>
    <row r="38" spans="1:2" x14ac:dyDescent="0.2">
      <c r="A38" s="71" t="s">
        <v>58</v>
      </c>
      <c r="B38" s="58" t="s">
        <v>259</v>
      </c>
    </row>
    <row r="39" spans="1:2" x14ac:dyDescent="0.2">
      <c r="A39" s="71" t="s">
        <v>94</v>
      </c>
      <c r="B39" s="58" t="s">
        <v>143</v>
      </c>
    </row>
    <row r="40" spans="1:2" x14ac:dyDescent="0.2">
      <c r="A40" s="71" t="s">
        <v>95</v>
      </c>
      <c r="B40" s="58" t="s">
        <v>72</v>
      </c>
    </row>
    <row r="41" spans="1:2" x14ac:dyDescent="0.2">
      <c r="A41" s="71" t="s">
        <v>316</v>
      </c>
      <c r="B41" s="58" t="s">
        <v>73</v>
      </c>
    </row>
    <row r="42" spans="1:2" x14ac:dyDescent="0.2">
      <c r="A42" s="71" t="s">
        <v>317</v>
      </c>
      <c r="B42" s="58" t="s">
        <v>72</v>
      </c>
    </row>
    <row r="43" spans="1:2" x14ac:dyDescent="0.2">
      <c r="A43" s="71" t="s">
        <v>318</v>
      </c>
      <c r="B43" s="72" t="s">
        <v>144</v>
      </c>
    </row>
    <row r="44" spans="1:2" x14ac:dyDescent="0.2">
      <c r="A44" s="71" t="s">
        <v>319</v>
      </c>
      <c r="B44" s="58" t="s">
        <v>260</v>
      </c>
    </row>
    <row r="45" spans="1:2" x14ac:dyDescent="0.2">
      <c r="A45" s="71" t="s">
        <v>83</v>
      </c>
      <c r="B45" s="58" t="s">
        <v>261</v>
      </c>
    </row>
    <row r="46" spans="1:2" x14ac:dyDescent="0.2">
      <c r="A46" s="71" t="s">
        <v>486</v>
      </c>
      <c r="B46" s="58" t="s">
        <v>262</v>
      </c>
    </row>
    <row r="47" spans="1:2" x14ac:dyDescent="0.2">
      <c r="A47" s="71" t="s">
        <v>490</v>
      </c>
      <c r="B47" s="58" t="s">
        <v>74</v>
      </c>
    </row>
    <row r="48" spans="1:2" x14ac:dyDescent="0.2">
      <c r="A48" s="71" t="s">
        <v>491</v>
      </c>
      <c r="B48" s="58" t="s">
        <v>75</v>
      </c>
    </row>
    <row r="49" spans="1:2" x14ac:dyDescent="0.2">
      <c r="A49" s="71" t="s">
        <v>160</v>
      </c>
      <c r="B49" s="58" t="s">
        <v>72</v>
      </c>
    </row>
    <row r="50" spans="1:2" x14ac:dyDescent="0.2">
      <c r="A50" s="71" t="s">
        <v>492</v>
      </c>
      <c r="B50" s="58" t="s">
        <v>144</v>
      </c>
    </row>
    <row r="51" spans="1:2" x14ac:dyDescent="0.2">
      <c r="A51" s="71" t="s">
        <v>493</v>
      </c>
      <c r="B51" s="58" t="s">
        <v>263</v>
      </c>
    </row>
    <row r="52" spans="1:2" x14ac:dyDescent="0.2">
      <c r="A52" s="71" t="s">
        <v>494</v>
      </c>
      <c r="B52" s="58" t="s">
        <v>261</v>
      </c>
    </row>
    <row r="53" spans="1:2" x14ac:dyDescent="0.2">
      <c r="A53" s="71" t="s">
        <v>161</v>
      </c>
      <c r="B53" s="58" t="s">
        <v>264</v>
      </c>
    </row>
    <row r="54" spans="1:2" x14ac:dyDescent="0.2">
      <c r="A54" s="71" t="s">
        <v>495</v>
      </c>
      <c r="B54" s="58" t="s">
        <v>72</v>
      </c>
    </row>
    <row r="55" spans="1:2" x14ac:dyDescent="0.2">
      <c r="A55" s="71" t="s">
        <v>496</v>
      </c>
      <c r="B55" s="58" t="s">
        <v>145</v>
      </c>
    </row>
    <row r="56" spans="1:2" x14ac:dyDescent="0.2">
      <c r="A56" s="71" t="s">
        <v>497</v>
      </c>
      <c r="B56" s="58" t="s">
        <v>265</v>
      </c>
    </row>
    <row r="57" spans="1:2" x14ac:dyDescent="0.2">
      <c r="A57" s="71" t="s">
        <v>498</v>
      </c>
      <c r="B57" s="58" t="s">
        <v>266</v>
      </c>
    </row>
    <row r="58" spans="1:2" x14ac:dyDescent="0.2">
      <c r="A58" s="71" t="s">
        <v>162</v>
      </c>
      <c r="B58" s="58" t="s">
        <v>267</v>
      </c>
    </row>
    <row r="59" spans="1:2" x14ac:dyDescent="0.2">
      <c r="A59" s="71" t="s">
        <v>499</v>
      </c>
      <c r="B59" s="58" t="s">
        <v>76</v>
      </c>
    </row>
    <row r="60" spans="1:2" x14ac:dyDescent="0.2">
      <c r="A60" s="71" t="s">
        <v>500</v>
      </c>
      <c r="B60" s="58" t="s">
        <v>146</v>
      </c>
    </row>
    <row r="61" spans="1:2" x14ac:dyDescent="0.2">
      <c r="A61" s="71" t="s">
        <v>501</v>
      </c>
      <c r="B61" s="58" t="s">
        <v>77</v>
      </c>
    </row>
    <row r="62" spans="1:2" x14ac:dyDescent="0.2">
      <c r="A62" s="71" t="s">
        <v>502</v>
      </c>
      <c r="B62" s="58" t="s">
        <v>268</v>
      </c>
    </row>
    <row r="63" spans="1:2" x14ac:dyDescent="0.2">
      <c r="A63" s="71" t="s">
        <v>163</v>
      </c>
      <c r="B63" s="58" t="s">
        <v>78</v>
      </c>
    </row>
    <row r="64" spans="1:2" x14ac:dyDescent="0.2">
      <c r="A64" s="71" t="s">
        <v>487</v>
      </c>
      <c r="B64" s="58" t="s">
        <v>79</v>
      </c>
    </row>
    <row r="65" spans="1:2" x14ac:dyDescent="0.2">
      <c r="A65" s="71" t="s">
        <v>503</v>
      </c>
      <c r="B65" s="58" t="s">
        <v>269</v>
      </c>
    </row>
    <row r="66" spans="1:2" x14ac:dyDescent="0.2">
      <c r="A66" s="71" t="s">
        <v>504</v>
      </c>
      <c r="B66" s="58" t="s">
        <v>270</v>
      </c>
    </row>
    <row r="67" spans="1:2" x14ac:dyDescent="0.2">
      <c r="A67" s="71" t="s">
        <v>505</v>
      </c>
      <c r="B67" s="58" t="s">
        <v>271</v>
      </c>
    </row>
    <row r="68" spans="1:2" x14ac:dyDescent="0.2">
      <c r="A68" s="71" t="s">
        <v>506</v>
      </c>
      <c r="B68" s="58" t="s">
        <v>272</v>
      </c>
    </row>
    <row r="69" spans="1:2" x14ac:dyDescent="0.2">
      <c r="A69" s="71" t="s">
        <v>507</v>
      </c>
      <c r="B69" s="58" t="s">
        <v>76</v>
      </c>
    </row>
    <row r="70" spans="1:2" x14ac:dyDescent="0.2">
      <c r="A70" s="71" t="s">
        <v>508</v>
      </c>
      <c r="B70" s="58" t="s">
        <v>80</v>
      </c>
    </row>
    <row r="71" spans="1:2" x14ac:dyDescent="0.2">
      <c r="A71" s="71" t="s">
        <v>509</v>
      </c>
      <c r="B71" s="58" t="s">
        <v>62</v>
      </c>
    </row>
    <row r="72" spans="1:2" x14ac:dyDescent="0.2">
      <c r="A72" s="71" t="s">
        <v>510</v>
      </c>
      <c r="B72" s="58" t="s">
        <v>63</v>
      </c>
    </row>
    <row r="73" spans="1:2" x14ac:dyDescent="0.2">
      <c r="A73" s="71" t="s">
        <v>511</v>
      </c>
      <c r="B73" s="58" t="s">
        <v>255</v>
      </c>
    </row>
    <row r="74" spans="1:2" x14ac:dyDescent="0.2">
      <c r="A74" s="71" t="s">
        <v>512</v>
      </c>
      <c r="B74" s="58" t="s">
        <v>273</v>
      </c>
    </row>
    <row r="75" spans="1:2" x14ac:dyDescent="0.2">
      <c r="A75" s="71" t="s">
        <v>513</v>
      </c>
      <c r="B75" s="58" t="s">
        <v>70</v>
      </c>
    </row>
    <row r="76" spans="1:2" x14ac:dyDescent="0.2">
      <c r="A76" s="71" t="s">
        <v>164</v>
      </c>
      <c r="B76" s="58" t="s">
        <v>310</v>
      </c>
    </row>
    <row r="77" spans="1:2" x14ac:dyDescent="0.2">
      <c r="A77" s="71" t="s">
        <v>514</v>
      </c>
      <c r="B77" s="58" t="s">
        <v>311</v>
      </c>
    </row>
    <row r="78" spans="1:2" x14ac:dyDescent="0.2">
      <c r="A78" s="71" t="s">
        <v>515</v>
      </c>
      <c r="B78" s="58" t="s">
        <v>312</v>
      </c>
    </row>
    <row r="79" spans="1:2" x14ac:dyDescent="0.2">
      <c r="A79" s="71" t="s">
        <v>165</v>
      </c>
      <c r="B79" s="58" t="s">
        <v>257</v>
      </c>
    </row>
    <row r="80" spans="1:2" x14ac:dyDescent="0.2">
      <c r="A80" s="71" t="s">
        <v>516</v>
      </c>
      <c r="B80" s="58" t="s">
        <v>274</v>
      </c>
    </row>
    <row r="81" spans="1:2" x14ac:dyDescent="0.2">
      <c r="A81" s="71" t="s">
        <v>517</v>
      </c>
      <c r="B81" s="58" t="s">
        <v>275</v>
      </c>
    </row>
    <row r="82" spans="1:2" x14ac:dyDescent="0.2">
      <c r="A82" s="71" t="s">
        <v>518</v>
      </c>
      <c r="B82" s="58" t="s">
        <v>82</v>
      </c>
    </row>
    <row r="83" spans="1:2" x14ac:dyDescent="0.2">
      <c r="A83" s="71" t="s">
        <v>242</v>
      </c>
      <c r="B83" s="58" t="s">
        <v>276</v>
      </c>
    </row>
    <row r="84" spans="1:2" x14ac:dyDescent="0.2">
      <c r="A84" s="71" t="s">
        <v>399</v>
      </c>
      <c r="B84" s="58" t="s">
        <v>277</v>
      </c>
    </row>
    <row r="85" spans="1:2" x14ac:dyDescent="0.2">
      <c r="A85" s="71" t="s">
        <v>400</v>
      </c>
      <c r="B85" s="58" t="s">
        <v>118</v>
      </c>
    </row>
    <row r="86" spans="1:2" x14ac:dyDescent="0.2">
      <c r="A86" s="71" t="s">
        <v>372</v>
      </c>
      <c r="B86" s="58" t="s">
        <v>119</v>
      </c>
    </row>
    <row r="87" spans="1:2" x14ac:dyDescent="0.2">
      <c r="A87" s="71" t="s">
        <v>373</v>
      </c>
      <c r="B87" s="58" t="s">
        <v>278</v>
      </c>
    </row>
    <row r="88" spans="1:2" x14ac:dyDescent="0.2">
      <c r="A88" s="71" t="s">
        <v>374</v>
      </c>
      <c r="B88" s="58" t="s">
        <v>313</v>
      </c>
    </row>
    <row r="89" spans="1:2" x14ac:dyDescent="0.2">
      <c r="A89" s="71" t="s">
        <v>375</v>
      </c>
      <c r="B89" s="58" t="s">
        <v>314</v>
      </c>
    </row>
    <row r="90" spans="1:2" x14ac:dyDescent="0.2">
      <c r="A90" s="71" t="s">
        <v>376</v>
      </c>
      <c r="B90" s="58" t="s">
        <v>124</v>
      </c>
    </row>
    <row r="91" spans="1:2" x14ac:dyDescent="0.2">
      <c r="A91" s="71" t="s">
        <v>377</v>
      </c>
      <c r="B91" s="58" t="s">
        <v>50</v>
      </c>
    </row>
    <row r="92" spans="1:2" x14ac:dyDescent="0.2">
      <c r="A92" s="71" t="s">
        <v>243</v>
      </c>
      <c r="B92" s="58" t="s">
        <v>64</v>
      </c>
    </row>
    <row r="93" spans="1:2" x14ac:dyDescent="0.2">
      <c r="A93" s="71" t="s">
        <v>378</v>
      </c>
      <c r="B93" s="58" t="s">
        <v>255</v>
      </c>
    </row>
    <row r="94" spans="1:2" x14ac:dyDescent="0.2">
      <c r="A94" s="71" t="s">
        <v>379</v>
      </c>
      <c r="B94" s="58" t="s">
        <v>279</v>
      </c>
    </row>
    <row r="95" spans="1:2" x14ac:dyDescent="0.2">
      <c r="A95" s="71" t="s">
        <v>380</v>
      </c>
      <c r="B95" s="58" t="s">
        <v>70</v>
      </c>
    </row>
    <row r="96" spans="1:2" x14ac:dyDescent="0.2">
      <c r="A96" s="71" t="s">
        <v>381</v>
      </c>
      <c r="B96" s="58" t="s">
        <v>310</v>
      </c>
    </row>
    <row r="97" spans="1:2" x14ac:dyDescent="0.2">
      <c r="A97" s="71" t="s">
        <v>519</v>
      </c>
      <c r="B97" s="58" t="s">
        <v>315</v>
      </c>
    </row>
    <row r="98" spans="1:2" x14ac:dyDescent="0.2">
      <c r="A98" s="71" t="s">
        <v>320</v>
      </c>
      <c r="B98" s="58" t="s">
        <v>312</v>
      </c>
    </row>
    <row r="99" spans="1:2" x14ac:dyDescent="0.2">
      <c r="A99" s="71" t="s">
        <v>382</v>
      </c>
      <c r="B99" s="58" t="s">
        <v>257</v>
      </c>
    </row>
    <row r="100" spans="1:2" x14ac:dyDescent="0.2">
      <c r="A100" s="71" t="s">
        <v>383</v>
      </c>
      <c r="B100" s="58" t="s">
        <v>280</v>
      </c>
    </row>
    <row r="101" spans="1:2" x14ac:dyDescent="0.2">
      <c r="A101" s="71" t="s">
        <v>384</v>
      </c>
      <c r="B101" s="58" t="s">
        <v>275</v>
      </c>
    </row>
    <row r="102" spans="1:2" x14ac:dyDescent="0.2">
      <c r="A102" s="71" t="s">
        <v>385</v>
      </c>
      <c r="B102" s="58" t="s">
        <v>82</v>
      </c>
    </row>
    <row r="103" spans="1:2" x14ac:dyDescent="0.2">
      <c r="A103" s="71" t="s">
        <v>520</v>
      </c>
      <c r="B103" s="58" t="s">
        <v>281</v>
      </c>
    </row>
    <row r="104" spans="1:2" x14ac:dyDescent="0.2">
      <c r="A104" s="71" t="s">
        <v>521</v>
      </c>
      <c r="B104" s="58" t="s">
        <v>282</v>
      </c>
    </row>
    <row r="105" spans="1:2" x14ac:dyDescent="0.2">
      <c r="A105" s="71" t="s">
        <v>321</v>
      </c>
      <c r="B105" s="58" t="s">
        <v>118</v>
      </c>
    </row>
    <row r="106" spans="1:2" x14ac:dyDescent="0.2">
      <c r="A106" s="71" t="s">
        <v>488</v>
      </c>
      <c r="B106" s="58" t="s">
        <v>119</v>
      </c>
    </row>
    <row r="107" spans="1:2" x14ac:dyDescent="0.2">
      <c r="A107" s="71" t="s">
        <v>463</v>
      </c>
      <c r="B107" s="58" t="s">
        <v>313</v>
      </c>
    </row>
    <row r="108" spans="1:2" x14ac:dyDescent="0.2">
      <c r="A108" s="71" t="s">
        <v>464</v>
      </c>
      <c r="B108" s="58" t="s">
        <v>314</v>
      </c>
    </row>
    <row r="109" spans="1:2" x14ac:dyDescent="0.2">
      <c r="A109" s="71" t="s">
        <v>489</v>
      </c>
      <c r="B109" s="58" t="s">
        <v>124</v>
      </c>
    </row>
    <row r="110" spans="1:2" x14ac:dyDescent="0.2">
      <c r="A110" s="71" t="s">
        <v>465</v>
      </c>
      <c r="B110" s="58" t="s">
        <v>54</v>
      </c>
    </row>
    <row r="111" spans="1:2" x14ac:dyDescent="0.2">
      <c r="A111" s="71" t="s">
        <v>466</v>
      </c>
      <c r="B111" s="58" t="s">
        <v>50</v>
      </c>
    </row>
    <row r="112" spans="1:2" x14ac:dyDescent="0.2">
      <c r="A112" s="71" t="s">
        <v>467</v>
      </c>
      <c r="B112" s="58" t="s">
        <v>120</v>
      </c>
    </row>
    <row r="113" spans="1:2" x14ac:dyDescent="0.2">
      <c r="A113" s="71" t="s">
        <v>468</v>
      </c>
      <c r="B113" s="58" t="s">
        <v>51</v>
      </c>
    </row>
    <row r="114" spans="1:2" x14ac:dyDescent="0.2">
      <c r="A114" s="71" t="s">
        <v>469</v>
      </c>
      <c r="B114" s="58" t="s">
        <v>283</v>
      </c>
    </row>
    <row r="115" spans="1:2" x14ac:dyDescent="0.2">
      <c r="A115" s="71" t="s">
        <v>470</v>
      </c>
      <c r="B115" s="58" t="s">
        <v>121</v>
      </c>
    </row>
    <row r="116" spans="1:2" x14ac:dyDescent="0.2">
      <c r="A116" s="71" t="s">
        <v>471</v>
      </c>
      <c r="B116" s="58" t="s">
        <v>284</v>
      </c>
    </row>
    <row r="117" spans="1:2" x14ac:dyDescent="0.2">
      <c r="A117" s="71" t="s">
        <v>522</v>
      </c>
      <c r="B117" s="58" t="s">
        <v>51</v>
      </c>
    </row>
    <row r="118" spans="1:2" x14ac:dyDescent="0.2">
      <c r="A118" s="71" t="s">
        <v>523</v>
      </c>
      <c r="B118" s="58" t="s">
        <v>122</v>
      </c>
    </row>
    <row r="119" spans="1:2" x14ac:dyDescent="0.2">
      <c r="A119" s="71" t="s">
        <v>524</v>
      </c>
      <c r="B119" s="58" t="s">
        <v>285</v>
      </c>
    </row>
    <row r="120" spans="1:2" x14ac:dyDescent="0.2">
      <c r="A120" s="71" t="s">
        <v>84</v>
      </c>
      <c r="B120" s="58" t="s">
        <v>286</v>
      </c>
    </row>
    <row r="121" spans="1:2" x14ac:dyDescent="0.2">
      <c r="A121" s="71" t="s">
        <v>89</v>
      </c>
      <c r="B121" s="58" t="s">
        <v>53</v>
      </c>
    </row>
    <row r="122" spans="1:2" x14ac:dyDescent="0.2">
      <c r="A122" s="71" t="s">
        <v>90</v>
      </c>
      <c r="B122" s="58" t="s">
        <v>287</v>
      </c>
    </row>
    <row r="123" spans="1:2" x14ac:dyDescent="0.2">
      <c r="A123" s="71" t="s">
        <v>85</v>
      </c>
      <c r="B123" s="58" t="s">
        <v>81</v>
      </c>
    </row>
    <row r="124" spans="1:2" x14ac:dyDescent="0.2">
      <c r="A124" s="71" t="s">
        <v>85</v>
      </c>
      <c r="B124" s="58" t="s">
        <v>82</v>
      </c>
    </row>
    <row r="125" spans="1:2" x14ac:dyDescent="0.2">
      <c r="A125" s="71" t="s">
        <v>87</v>
      </c>
      <c r="B125" s="58" t="s">
        <v>288</v>
      </c>
    </row>
    <row r="126" spans="1:2" x14ac:dyDescent="0.2">
      <c r="A126" s="71" t="s">
        <v>86</v>
      </c>
      <c r="B126" s="58" t="s">
        <v>289</v>
      </c>
    </row>
    <row r="127" spans="1:2" x14ac:dyDescent="0.2">
      <c r="A127" s="71" t="s">
        <v>88</v>
      </c>
      <c r="B127" s="58" t="s">
        <v>123</v>
      </c>
    </row>
    <row r="128" spans="1:2" x14ac:dyDescent="0.2">
      <c r="A128" s="71" t="s">
        <v>250</v>
      </c>
      <c r="B128" s="58" t="s">
        <v>119</v>
      </c>
    </row>
    <row r="129" spans="1:2" x14ac:dyDescent="0.2">
      <c r="A129" s="71" t="s">
        <v>51</v>
      </c>
      <c r="B129" s="58" t="s">
        <v>124</v>
      </c>
    </row>
    <row r="130" spans="1:2" x14ac:dyDescent="0.2">
      <c r="A130" s="71" t="s">
        <v>51</v>
      </c>
      <c r="B130" s="58" t="s">
        <v>61</v>
      </c>
    </row>
    <row r="131" spans="1:2" x14ac:dyDescent="0.2">
      <c r="A131" s="71" t="s">
        <v>112</v>
      </c>
      <c r="B131" s="58" t="s">
        <v>54</v>
      </c>
    </row>
    <row r="132" spans="1:2" x14ac:dyDescent="0.2">
      <c r="A132" s="71" t="s">
        <v>113</v>
      </c>
      <c r="B132" s="58" t="s">
        <v>125</v>
      </c>
    </row>
    <row r="133" spans="1:2" x14ac:dyDescent="0.2">
      <c r="A133" s="71" t="s">
        <v>114</v>
      </c>
      <c r="B133" s="58" t="s">
        <v>51</v>
      </c>
    </row>
    <row r="134" spans="1:2" x14ac:dyDescent="0.2">
      <c r="A134" s="71" t="s">
        <v>115</v>
      </c>
      <c r="B134" s="58" t="s">
        <v>290</v>
      </c>
    </row>
    <row r="135" spans="1:2" x14ac:dyDescent="0.2">
      <c r="A135" s="71" t="s">
        <v>109</v>
      </c>
      <c r="B135" s="58" t="s">
        <v>121</v>
      </c>
    </row>
    <row r="136" spans="1:2" x14ac:dyDescent="0.2">
      <c r="A136" s="71" t="s">
        <v>51</v>
      </c>
      <c r="B136" s="58" t="s">
        <v>291</v>
      </c>
    </row>
    <row r="137" spans="1:2" x14ac:dyDescent="0.2">
      <c r="A137" s="71" t="s">
        <v>251</v>
      </c>
      <c r="B137" s="58" t="s">
        <v>51</v>
      </c>
    </row>
    <row r="138" spans="1:2" x14ac:dyDescent="0.2">
      <c r="A138" s="71" t="s">
        <v>66</v>
      </c>
      <c r="B138" s="58" t="s">
        <v>122</v>
      </c>
    </row>
    <row r="139" spans="1:2" x14ac:dyDescent="0.2">
      <c r="A139" s="71" t="s">
        <v>67</v>
      </c>
      <c r="B139" s="58" t="s">
        <v>285</v>
      </c>
    </row>
    <row r="140" spans="1:2" x14ac:dyDescent="0.2">
      <c r="A140" s="71" t="s">
        <v>252</v>
      </c>
      <c r="B140" s="58" t="s">
        <v>286</v>
      </c>
    </row>
    <row r="141" spans="1:2" x14ac:dyDescent="0.2">
      <c r="A141" s="71" t="s">
        <v>253</v>
      </c>
      <c r="B141" s="58" t="s">
        <v>53</v>
      </c>
    </row>
    <row r="142" spans="1:2" x14ac:dyDescent="0.2">
      <c r="A142" s="71" t="s">
        <v>254</v>
      </c>
      <c r="B142" s="58" t="s">
        <v>287</v>
      </c>
    </row>
    <row r="143" spans="1:2" x14ac:dyDescent="0.2">
      <c r="A143" s="71" t="s">
        <v>68</v>
      </c>
      <c r="B143" s="58" t="s">
        <v>81</v>
      </c>
    </row>
    <row r="144" spans="1:2" x14ac:dyDescent="0.2">
      <c r="A144" s="71" t="s">
        <v>69</v>
      </c>
      <c r="B144" s="58" t="s">
        <v>82</v>
      </c>
    </row>
    <row r="145" spans="1:2" x14ac:dyDescent="0.2">
      <c r="A145" s="71" t="s">
        <v>142</v>
      </c>
      <c r="B145" s="58" t="s">
        <v>292</v>
      </c>
    </row>
    <row r="146" spans="1:2" x14ac:dyDescent="0.2">
      <c r="A146" s="71" t="s">
        <v>116</v>
      </c>
      <c r="B146" s="58" t="s">
        <v>293</v>
      </c>
    </row>
    <row r="147" spans="1:2" x14ac:dyDescent="0.2">
      <c r="A147" s="71" t="s">
        <v>117</v>
      </c>
      <c r="B147" s="58" t="s">
        <v>123</v>
      </c>
    </row>
    <row r="148" spans="1:2" x14ac:dyDescent="0.2">
      <c r="A148" s="71" t="s">
        <v>255</v>
      </c>
      <c r="B148" s="58" t="s">
        <v>119</v>
      </c>
    </row>
    <row r="149" spans="1:2" x14ac:dyDescent="0.2">
      <c r="A149" s="71" t="s">
        <v>256</v>
      </c>
      <c r="B149" s="58" t="s">
        <v>124</v>
      </c>
    </row>
    <row r="150" spans="1:2" x14ac:dyDescent="0.2">
      <c r="A150" s="71" t="s">
        <v>70</v>
      </c>
      <c r="B150" s="58" t="s">
        <v>61</v>
      </c>
    </row>
    <row r="151" spans="1:2" x14ac:dyDescent="0.2">
      <c r="A151" s="71" t="s">
        <v>310</v>
      </c>
      <c r="B151" s="58" t="s">
        <v>54</v>
      </c>
    </row>
    <row r="152" spans="1:2" x14ac:dyDescent="0.2">
      <c r="A152" s="71" t="s">
        <v>311</v>
      </c>
      <c r="B152" s="58" t="s">
        <v>50</v>
      </c>
    </row>
    <row r="153" spans="1:2" x14ac:dyDescent="0.2">
      <c r="A153" s="71" t="s">
        <v>312</v>
      </c>
      <c r="B153" s="58" t="s">
        <v>294</v>
      </c>
    </row>
    <row r="154" spans="1:2" x14ac:dyDescent="0.2">
      <c r="A154" s="71" t="s">
        <v>257</v>
      </c>
      <c r="B154" s="58" t="s">
        <v>121</v>
      </c>
    </row>
    <row r="155" spans="1:2" x14ac:dyDescent="0.2">
      <c r="A155" s="71" t="s">
        <v>258</v>
      </c>
      <c r="B155" s="58" t="s">
        <v>295</v>
      </c>
    </row>
    <row r="156" spans="1:2" x14ac:dyDescent="0.2">
      <c r="A156" s="71" t="s">
        <v>71</v>
      </c>
      <c r="B156" s="58" t="s">
        <v>51</v>
      </c>
    </row>
    <row r="157" spans="1:2" x14ac:dyDescent="0.2">
      <c r="A157" s="71" t="s">
        <v>259</v>
      </c>
      <c r="B157" s="58" t="s">
        <v>122</v>
      </c>
    </row>
    <row r="158" spans="1:2" x14ac:dyDescent="0.2">
      <c r="A158" s="71" t="s">
        <v>143</v>
      </c>
      <c r="B158" s="58" t="s">
        <v>296</v>
      </c>
    </row>
    <row r="159" spans="1:2" x14ac:dyDescent="0.2">
      <c r="A159" s="71" t="s">
        <v>72</v>
      </c>
      <c r="B159" s="58" t="s">
        <v>53</v>
      </c>
    </row>
    <row r="160" spans="1:2" x14ac:dyDescent="0.2">
      <c r="A160" s="71" t="s">
        <v>73</v>
      </c>
      <c r="B160" s="58" t="s">
        <v>297</v>
      </c>
    </row>
    <row r="161" spans="1:2" x14ac:dyDescent="0.2">
      <c r="A161" s="71" t="s">
        <v>72</v>
      </c>
      <c r="B161" s="58" t="s">
        <v>287</v>
      </c>
    </row>
    <row r="162" spans="1:2" x14ac:dyDescent="0.2">
      <c r="A162" s="71" t="s">
        <v>144</v>
      </c>
      <c r="B162" s="58" t="s">
        <v>81</v>
      </c>
    </row>
    <row r="163" spans="1:2" x14ac:dyDescent="0.2">
      <c r="A163" s="71" t="s">
        <v>260</v>
      </c>
      <c r="B163" s="58" t="s">
        <v>82</v>
      </c>
    </row>
    <row r="164" spans="1:2" x14ac:dyDescent="0.2">
      <c r="A164" s="71" t="s">
        <v>261</v>
      </c>
      <c r="B164" s="58" t="s">
        <v>298</v>
      </c>
    </row>
    <row r="165" spans="1:2" x14ac:dyDescent="0.2">
      <c r="A165" s="71" t="s">
        <v>262</v>
      </c>
      <c r="B165" s="58" t="s">
        <v>299</v>
      </c>
    </row>
    <row r="166" spans="1:2" x14ac:dyDescent="0.2">
      <c r="A166" s="71" t="s">
        <v>74</v>
      </c>
      <c r="B166" s="58" t="s">
        <v>123</v>
      </c>
    </row>
    <row r="167" spans="1:2" x14ac:dyDescent="0.2">
      <c r="A167" s="71" t="s">
        <v>75</v>
      </c>
      <c r="B167" s="58" t="s">
        <v>119</v>
      </c>
    </row>
    <row r="168" spans="1:2" x14ac:dyDescent="0.2">
      <c r="A168" s="71" t="s">
        <v>72</v>
      </c>
      <c r="B168" s="58" t="s">
        <v>124</v>
      </c>
    </row>
    <row r="169" spans="1:2" x14ac:dyDescent="0.2">
      <c r="A169" s="71" t="s">
        <v>144</v>
      </c>
      <c r="B169" s="58" t="s">
        <v>61</v>
      </c>
    </row>
    <row r="170" spans="1:2" x14ac:dyDescent="0.2">
      <c r="A170" s="71" t="s">
        <v>263</v>
      </c>
      <c r="B170" s="58" t="s">
        <v>54</v>
      </c>
    </row>
    <row r="171" spans="1:2" x14ac:dyDescent="0.2">
      <c r="A171" s="71" t="s">
        <v>261</v>
      </c>
      <c r="B171" s="58" t="s">
        <v>300</v>
      </c>
    </row>
    <row r="172" spans="1:2" x14ac:dyDescent="0.2">
      <c r="A172" s="71" t="s">
        <v>264</v>
      </c>
      <c r="B172" s="58" t="s">
        <v>121</v>
      </c>
    </row>
    <row r="173" spans="1:2" x14ac:dyDescent="0.2">
      <c r="A173" s="71" t="s">
        <v>72</v>
      </c>
      <c r="B173" s="58" t="s">
        <v>301</v>
      </c>
    </row>
    <row r="174" spans="1:2" x14ac:dyDescent="0.2">
      <c r="A174" s="71" t="s">
        <v>145</v>
      </c>
      <c r="B174" s="58" t="s">
        <v>51</v>
      </c>
    </row>
    <row r="175" spans="1:2" x14ac:dyDescent="0.2">
      <c r="A175" s="71" t="s">
        <v>265</v>
      </c>
      <c r="B175" s="58" t="s">
        <v>122</v>
      </c>
    </row>
    <row r="176" spans="1:2" x14ac:dyDescent="0.2">
      <c r="A176" s="71" t="s">
        <v>266</v>
      </c>
      <c r="B176" s="58" t="s">
        <v>296</v>
      </c>
    </row>
    <row r="177" spans="1:2" x14ac:dyDescent="0.2">
      <c r="A177" s="71" t="s">
        <v>267</v>
      </c>
      <c r="B177" s="58" t="s">
        <v>53</v>
      </c>
    </row>
    <row r="178" spans="1:2" x14ac:dyDescent="0.2">
      <c r="A178" s="71" t="s">
        <v>76</v>
      </c>
      <c r="B178" s="58" t="s">
        <v>297</v>
      </c>
    </row>
    <row r="179" spans="1:2" x14ac:dyDescent="0.2">
      <c r="A179" s="71" t="s">
        <v>146</v>
      </c>
      <c r="B179" s="58" t="s">
        <v>287</v>
      </c>
    </row>
    <row r="180" spans="1:2" x14ac:dyDescent="0.2">
      <c r="A180" s="71" t="s">
        <v>77</v>
      </c>
      <c r="B180" s="58" t="s">
        <v>81</v>
      </c>
    </row>
    <row r="181" spans="1:2" x14ac:dyDescent="0.2">
      <c r="A181" s="71" t="s">
        <v>268</v>
      </c>
      <c r="B181" s="58" t="s">
        <v>82</v>
      </c>
    </row>
    <row r="182" spans="1:2" x14ac:dyDescent="0.2">
      <c r="A182" s="71" t="s">
        <v>78</v>
      </c>
      <c r="B182" s="58" t="s">
        <v>302</v>
      </c>
    </row>
    <row r="183" spans="1:2" x14ac:dyDescent="0.2">
      <c r="A183" s="71" t="s">
        <v>79</v>
      </c>
      <c r="B183" s="58" t="s">
        <v>303</v>
      </c>
    </row>
    <row r="184" spans="1:2" x14ac:dyDescent="0.2">
      <c r="A184" s="71" t="s">
        <v>269</v>
      </c>
      <c r="B184" s="58" t="s">
        <v>123</v>
      </c>
    </row>
    <row r="185" spans="1:2" x14ac:dyDescent="0.2">
      <c r="A185" s="71" t="s">
        <v>270</v>
      </c>
      <c r="B185" s="58" t="s">
        <v>119</v>
      </c>
    </row>
    <row r="186" spans="1:2" x14ac:dyDescent="0.2">
      <c r="A186" s="71" t="s">
        <v>271</v>
      </c>
      <c r="B186" s="58" t="s">
        <v>124</v>
      </c>
    </row>
    <row r="187" spans="1:2" x14ac:dyDescent="0.2">
      <c r="A187" s="71" t="s">
        <v>272</v>
      </c>
      <c r="B187" s="58" t="s">
        <v>61</v>
      </c>
    </row>
    <row r="188" spans="1:2" x14ac:dyDescent="0.2">
      <c r="A188" s="71" t="s">
        <v>76</v>
      </c>
      <c r="B188" s="58" t="s">
        <v>54</v>
      </c>
    </row>
    <row r="189" spans="1:2" x14ac:dyDescent="0.2">
      <c r="A189" s="71" t="s">
        <v>80</v>
      </c>
      <c r="B189" s="58" t="s">
        <v>50</v>
      </c>
    </row>
    <row r="190" spans="1:2" x14ac:dyDescent="0.2">
      <c r="A190" s="71" t="s">
        <v>62</v>
      </c>
      <c r="B190" s="58" t="s">
        <v>126</v>
      </c>
    </row>
    <row r="191" spans="1:2" x14ac:dyDescent="0.2">
      <c r="A191" s="71" t="s">
        <v>63</v>
      </c>
      <c r="B191" s="58" t="s">
        <v>51</v>
      </c>
    </row>
    <row r="192" spans="1:2" x14ac:dyDescent="0.2">
      <c r="A192" s="71" t="s">
        <v>255</v>
      </c>
      <c r="B192" s="58" t="s">
        <v>65</v>
      </c>
    </row>
    <row r="193" spans="1:2" x14ac:dyDescent="0.2">
      <c r="A193" s="71" t="s">
        <v>273</v>
      </c>
      <c r="B193" s="58" t="s">
        <v>51</v>
      </c>
    </row>
    <row r="194" spans="1:2" x14ac:dyDescent="0.2">
      <c r="A194" s="71" t="s">
        <v>70</v>
      </c>
      <c r="B194" s="58" t="s">
        <v>127</v>
      </c>
    </row>
    <row r="195" spans="1:2" x14ac:dyDescent="0.2">
      <c r="A195" s="71" t="s">
        <v>310</v>
      </c>
      <c r="B195" s="58" t="s">
        <v>51</v>
      </c>
    </row>
    <row r="196" spans="1:2" x14ac:dyDescent="0.2">
      <c r="A196" s="71" t="s">
        <v>311</v>
      </c>
      <c r="B196" s="58" t="s">
        <v>128</v>
      </c>
    </row>
    <row r="197" spans="1:2" x14ac:dyDescent="0.2">
      <c r="A197" s="71" t="s">
        <v>312</v>
      </c>
      <c r="B197" s="58" t="s">
        <v>147</v>
      </c>
    </row>
    <row r="198" spans="1:2" x14ac:dyDescent="0.2">
      <c r="A198" s="71" t="s">
        <v>257</v>
      </c>
      <c r="B198" s="58" t="s">
        <v>129</v>
      </c>
    </row>
    <row r="199" spans="1:2" x14ac:dyDescent="0.2">
      <c r="A199" s="71" t="s">
        <v>274</v>
      </c>
      <c r="B199" s="58" t="s">
        <v>130</v>
      </c>
    </row>
    <row r="200" spans="1:2" x14ac:dyDescent="0.2">
      <c r="A200" s="71" t="s">
        <v>275</v>
      </c>
      <c r="B200" s="58" t="s">
        <v>53</v>
      </c>
    </row>
    <row r="201" spans="1:2" x14ac:dyDescent="0.2">
      <c r="A201" s="71" t="s">
        <v>82</v>
      </c>
      <c r="B201" s="58" t="s">
        <v>131</v>
      </c>
    </row>
    <row r="202" spans="1:2" x14ac:dyDescent="0.2">
      <c r="A202" s="71" t="s">
        <v>276</v>
      </c>
      <c r="B202" s="58" t="s">
        <v>132</v>
      </c>
    </row>
    <row r="203" spans="1:2" x14ac:dyDescent="0.2">
      <c r="A203" s="71" t="s">
        <v>277</v>
      </c>
      <c r="B203" s="58" t="s">
        <v>304</v>
      </c>
    </row>
    <row r="204" spans="1:2" x14ac:dyDescent="0.2">
      <c r="A204" s="71" t="s">
        <v>118</v>
      </c>
      <c r="B204" s="58" t="s">
        <v>305</v>
      </c>
    </row>
    <row r="205" spans="1:2" x14ac:dyDescent="0.2">
      <c r="A205" s="71" t="s">
        <v>119</v>
      </c>
      <c r="B205" s="58" t="s">
        <v>306</v>
      </c>
    </row>
    <row r="206" spans="1:2" x14ac:dyDescent="0.2">
      <c r="A206" s="71" t="s">
        <v>278</v>
      </c>
      <c r="B206" s="58" t="s">
        <v>133</v>
      </c>
    </row>
    <row r="207" spans="1:2" x14ac:dyDescent="0.2">
      <c r="A207" s="71" t="s">
        <v>313</v>
      </c>
      <c r="B207" s="58" t="s">
        <v>61</v>
      </c>
    </row>
    <row r="208" spans="1:2" x14ac:dyDescent="0.2">
      <c r="A208" s="71" t="s">
        <v>314</v>
      </c>
      <c r="B208" s="58" t="s">
        <v>134</v>
      </c>
    </row>
    <row r="209" spans="1:2" x14ac:dyDescent="0.2">
      <c r="A209" s="71" t="s">
        <v>124</v>
      </c>
      <c r="B209" s="58" t="s">
        <v>135</v>
      </c>
    </row>
    <row r="210" spans="1:2" x14ac:dyDescent="0.2">
      <c r="A210" s="71" t="s">
        <v>50</v>
      </c>
      <c r="B210" s="58" t="s">
        <v>53</v>
      </c>
    </row>
    <row r="211" spans="1:2" x14ac:dyDescent="0.2">
      <c r="A211" s="71" t="s">
        <v>64</v>
      </c>
      <c r="B211" s="58" t="s">
        <v>136</v>
      </c>
    </row>
    <row r="212" spans="1:2" x14ac:dyDescent="0.2">
      <c r="A212" s="71" t="s">
        <v>255</v>
      </c>
      <c r="B212" s="58" t="s">
        <v>137</v>
      </c>
    </row>
    <row r="213" spans="1:2" x14ac:dyDescent="0.2">
      <c r="A213" s="71" t="s">
        <v>279</v>
      </c>
      <c r="B213" s="58" t="s">
        <v>307</v>
      </c>
    </row>
    <row r="214" spans="1:2" x14ac:dyDescent="0.2">
      <c r="A214" s="71" t="s">
        <v>70</v>
      </c>
      <c r="B214" s="58" t="s">
        <v>308</v>
      </c>
    </row>
    <row r="215" spans="1:2" x14ac:dyDescent="0.2">
      <c r="A215" s="71" t="s">
        <v>310</v>
      </c>
      <c r="B215" s="58" t="s">
        <v>309</v>
      </c>
    </row>
    <row r="216" spans="1:2" x14ac:dyDescent="0.2">
      <c r="A216" s="71" t="s">
        <v>315</v>
      </c>
      <c r="B216" s="58" t="s">
        <v>133</v>
      </c>
    </row>
    <row r="217" spans="1:2" x14ac:dyDescent="0.2">
      <c r="A217" s="71" t="s">
        <v>312</v>
      </c>
      <c r="B217" s="58" t="s">
        <v>138</v>
      </c>
    </row>
    <row r="218" spans="1:2" x14ac:dyDescent="0.2">
      <c r="A218" s="71" t="s">
        <v>257</v>
      </c>
      <c r="B218" s="58" t="s">
        <v>62</v>
      </c>
    </row>
    <row r="219" spans="1:2" x14ac:dyDescent="0.2">
      <c r="A219" s="71" t="s">
        <v>280</v>
      </c>
      <c r="B219" s="58" t="s">
        <v>51</v>
      </c>
    </row>
    <row r="220" spans="1:2" x14ac:dyDescent="0.2">
      <c r="A220" s="71" t="s">
        <v>275</v>
      </c>
    </row>
    <row r="221" spans="1:2" x14ac:dyDescent="0.2">
      <c r="A221" s="71" t="s">
        <v>82</v>
      </c>
    </row>
    <row r="222" spans="1:2" x14ac:dyDescent="0.2">
      <c r="A222" s="71" t="s">
        <v>281</v>
      </c>
    </row>
    <row r="223" spans="1:2" x14ac:dyDescent="0.2">
      <c r="A223" s="71" t="s">
        <v>282</v>
      </c>
    </row>
    <row r="224" spans="1:2" x14ac:dyDescent="0.2">
      <c r="A224" s="71" t="s">
        <v>118</v>
      </c>
    </row>
    <row r="225" spans="1:1" x14ac:dyDescent="0.2">
      <c r="A225" s="71" t="s">
        <v>119</v>
      </c>
    </row>
    <row r="226" spans="1:1" x14ac:dyDescent="0.2">
      <c r="A226" s="71" t="s">
        <v>313</v>
      </c>
    </row>
    <row r="227" spans="1:1" x14ac:dyDescent="0.2">
      <c r="A227" s="71" t="s">
        <v>314</v>
      </c>
    </row>
    <row r="228" spans="1:1" x14ac:dyDescent="0.2">
      <c r="A228" s="71" t="s">
        <v>124</v>
      </c>
    </row>
    <row r="229" spans="1:1" x14ac:dyDescent="0.2">
      <c r="A229" s="71" t="s">
        <v>54</v>
      </c>
    </row>
    <row r="230" spans="1:1" x14ac:dyDescent="0.2">
      <c r="A230" s="71" t="s">
        <v>50</v>
      </c>
    </row>
    <row r="231" spans="1:1" x14ac:dyDescent="0.2">
      <c r="A231" s="71" t="s">
        <v>120</v>
      </c>
    </row>
    <row r="232" spans="1:1" x14ac:dyDescent="0.2">
      <c r="A232" s="71" t="s">
        <v>51</v>
      </c>
    </row>
    <row r="233" spans="1:1" x14ac:dyDescent="0.2">
      <c r="A233" s="71" t="s">
        <v>283</v>
      </c>
    </row>
    <row r="234" spans="1:1" x14ac:dyDescent="0.2">
      <c r="A234" s="71" t="s">
        <v>121</v>
      </c>
    </row>
    <row r="235" spans="1:1" x14ac:dyDescent="0.2">
      <c r="A235" s="71" t="s">
        <v>284</v>
      </c>
    </row>
    <row r="236" spans="1:1" x14ac:dyDescent="0.2">
      <c r="A236" s="71" t="s">
        <v>51</v>
      </c>
    </row>
    <row r="237" spans="1:1" x14ac:dyDescent="0.2">
      <c r="A237" s="71" t="s">
        <v>122</v>
      </c>
    </row>
    <row r="238" spans="1:1" x14ac:dyDescent="0.2">
      <c r="A238" s="71" t="s">
        <v>285</v>
      </c>
    </row>
    <row r="239" spans="1:1" x14ac:dyDescent="0.2">
      <c r="A239" s="71" t="s">
        <v>286</v>
      </c>
    </row>
    <row r="240" spans="1:1" x14ac:dyDescent="0.2">
      <c r="A240" s="71" t="s">
        <v>53</v>
      </c>
    </row>
    <row r="241" spans="1:1" x14ac:dyDescent="0.2">
      <c r="A241" s="71" t="s">
        <v>287</v>
      </c>
    </row>
    <row r="242" spans="1:1" x14ac:dyDescent="0.2">
      <c r="A242" s="71" t="s">
        <v>81</v>
      </c>
    </row>
    <row r="243" spans="1:1" x14ac:dyDescent="0.2">
      <c r="A243" s="71" t="s">
        <v>82</v>
      </c>
    </row>
    <row r="244" spans="1:1" x14ac:dyDescent="0.2">
      <c r="A244" s="71" t="s">
        <v>288</v>
      </c>
    </row>
    <row r="245" spans="1:1" x14ac:dyDescent="0.2">
      <c r="A245" s="71" t="s">
        <v>289</v>
      </c>
    </row>
    <row r="246" spans="1:1" x14ac:dyDescent="0.2">
      <c r="A246" s="71" t="s">
        <v>123</v>
      </c>
    </row>
    <row r="247" spans="1:1" x14ac:dyDescent="0.2">
      <c r="A247" s="71" t="s">
        <v>119</v>
      </c>
    </row>
    <row r="248" spans="1:1" x14ac:dyDescent="0.2">
      <c r="A248" s="71" t="s">
        <v>124</v>
      </c>
    </row>
    <row r="249" spans="1:1" x14ac:dyDescent="0.2">
      <c r="A249" s="71" t="s">
        <v>61</v>
      </c>
    </row>
    <row r="250" spans="1:1" x14ac:dyDescent="0.2">
      <c r="A250" s="71" t="s">
        <v>54</v>
      </c>
    </row>
    <row r="251" spans="1:1" x14ac:dyDescent="0.2">
      <c r="A251" s="71" t="s">
        <v>125</v>
      </c>
    </row>
    <row r="252" spans="1:1" x14ac:dyDescent="0.2">
      <c r="A252" s="71" t="s">
        <v>51</v>
      </c>
    </row>
    <row r="253" spans="1:1" x14ac:dyDescent="0.2">
      <c r="A253" s="71" t="s">
        <v>290</v>
      </c>
    </row>
    <row r="254" spans="1:1" x14ac:dyDescent="0.2">
      <c r="A254" s="71" t="s">
        <v>121</v>
      </c>
    </row>
    <row r="255" spans="1:1" x14ac:dyDescent="0.2">
      <c r="A255" s="71" t="s">
        <v>291</v>
      </c>
    </row>
    <row r="256" spans="1:1" x14ac:dyDescent="0.2">
      <c r="A256" s="71" t="s">
        <v>51</v>
      </c>
    </row>
    <row r="257" spans="1:1" x14ac:dyDescent="0.2">
      <c r="A257" s="71" t="s">
        <v>122</v>
      </c>
    </row>
    <row r="258" spans="1:1" x14ac:dyDescent="0.2">
      <c r="A258" s="71" t="s">
        <v>285</v>
      </c>
    </row>
    <row r="259" spans="1:1" x14ac:dyDescent="0.2">
      <c r="A259" s="71" t="s">
        <v>286</v>
      </c>
    </row>
    <row r="260" spans="1:1" x14ac:dyDescent="0.2">
      <c r="A260" s="71" t="s">
        <v>53</v>
      </c>
    </row>
    <row r="261" spans="1:1" x14ac:dyDescent="0.2">
      <c r="A261" s="71" t="s">
        <v>287</v>
      </c>
    </row>
    <row r="262" spans="1:1" x14ac:dyDescent="0.2">
      <c r="A262" s="71" t="s">
        <v>81</v>
      </c>
    </row>
    <row r="263" spans="1:1" x14ac:dyDescent="0.2">
      <c r="A263" s="71" t="s">
        <v>82</v>
      </c>
    </row>
    <row r="264" spans="1:1" x14ac:dyDescent="0.2">
      <c r="A264" s="71" t="s">
        <v>292</v>
      </c>
    </row>
    <row r="265" spans="1:1" x14ac:dyDescent="0.2">
      <c r="A265" s="71" t="s">
        <v>293</v>
      </c>
    </row>
    <row r="266" spans="1:1" x14ac:dyDescent="0.2">
      <c r="A266" s="71" t="s">
        <v>123</v>
      </c>
    </row>
    <row r="267" spans="1:1" x14ac:dyDescent="0.2">
      <c r="A267" s="71" t="s">
        <v>119</v>
      </c>
    </row>
    <row r="268" spans="1:1" x14ac:dyDescent="0.2">
      <c r="A268" s="71" t="s">
        <v>124</v>
      </c>
    </row>
    <row r="269" spans="1:1" x14ac:dyDescent="0.2">
      <c r="A269" s="71" t="s">
        <v>61</v>
      </c>
    </row>
    <row r="270" spans="1:1" x14ac:dyDescent="0.2">
      <c r="A270" s="71" t="s">
        <v>54</v>
      </c>
    </row>
    <row r="271" spans="1:1" x14ac:dyDescent="0.2">
      <c r="A271" s="71" t="s">
        <v>50</v>
      </c>
    </row>
    <row r="272" spans="1:1" x14ac:dyDescent="0.2">
      <c r="A272" s="71" t="s">
        <v>294</v>
      </c>
    </row>
    <row r="273" spans="1:1" x14ac:dyDescent="0.2">
      <c r="A273" s="71" t="s">
        <v>121</v>
      </c>
    </row>
    <row r="274" spans="1:1" x14ac:dyDescent="0.2">
      <c r="A274" s="71" t="s">
        <v>295</v>
      </c>
    </row>
    <row r="275" spans="1:1" x14ac:dyDescent="0.2">
      <c r="A275" s="71" t="s">
        <v>51</v>
      </c>
    </row>
    <row r="276" spans="1:1" x14ac:dyDescent="0.2">
      <c r="A276" s="71" t="s">
        <v>122</v>
      </c>
    </row>
    <row r="277" spans="1:1" x14ac:dyDescent="0.2">
      <c r="A277" s="71" t="s">
        <v>296</v>
      </c>
    </row>
    <row r="278" spans="1:1" x14ac:dyDescent="0.2">
      <c r="A278" s="71" t="s">
        <v>53</v>
      </c>
    </row>
    <row r="279" spans="1:1" x14ac:dyDescent="0.2">
      <c r="A279" s="71" t="s">
        <v>297</v>
      </c>
    </row>
    <row r="280" spans="1:1" x14ac:dyDescent="0.2">
      <c r="A280" s="71" t="s">
        <v>287</v>
      </c>
    </row>
    <row r="281" spans="1:1" x14ac:dyDescent="0.2">
      <c r="A281" s="71" t="s">
        <v>81</v>
      </c>
    </row>
    <row r="282" spans="1:1" x14ac:dyDescent="0.2">
      <c r="A282" s="71" t="s">
        <v>82</v>
      </c>
    </row>
    <row r="283" spans="1:1" x14ac:dyDescent="0.2">
      <c r="A283" s="71" t="s">
        <v>298</v>
      </c>
    </row>
    <row r="284" spans="1:1" x14ac:dyDescent="0.2">
      <c r="A284" s="71" t="s">
        <v>299</v>
      </c>
    </row>
    <row r="285" spans="1:1" x14ac:dyDescent="0.2">
      <c r="A285" s="71" t="s">
        <v>123</v>
      </c>
    </row>
    <row r="286" spans="1:1" x14ac:dyDescent="0.2">
      <c r="A286" s="71" t="s">
        <v>119</v>
      </c>
    </row>
    <row r="287" spans="1:1" x14ac:dyDescent="0.2">
      <c r="A287" s="71" t="s">
        <v>124</v>
      </c>
    </row>
    <row r="288" spans="1:1" x14ac:dyDescent="0.2">
      <c r="A288" s="71" t="s">
        <v>61</v>
      </c>
    </row>
    <row r="289" spans="1:1" x14ac:dyDescent="0.2">
      <c r="A289" s="71" t="s">
        <v>54</v>
      </c>
    </row>
    <row r="290" spans="1:1" x14ac:dyDescent="0.2">
      <c r="A290" s="71" t="s">
        <v>300</v>
      </c>
    </row>
    <row r="291" spans="1:1" x14ac:dyDescent="0.2">
      <c r="A291" s="71" t="s">
        <v>121</v>
      </c>
    </row>
    <row r="292" spans="1:1" x14ac:dyDescent="0.2">
      <c r="A292" s="71" t="s">
        <v>301</v>
      </c>
    </row>
    <row r="293" spans="1:1" x14ac:dyDescent="0.2">
      <c r="A293" s="71" t="s">
        <v>51</v>
      </c>
    </row>
    <row r="294" spans="1:1" x14ac:dyDescent="0.2">
      <c r="A294" s="71" t="s">
        <v>122</v>
      </c>
    </row>
    <row r="295" spans="1:1" x14ac:dyDescent="0.2">
      <c r="A295" s="71" t="s">
        <v>296</v>
      </c>
    </row>
    <row r="296" spans="1:1" x14ac:dyDescent="0.2">
      <c r="A296" s="71" t="s">
        <v>53</v>
      </c>
    </row>
    <row r="297" spans="1:1" x14ac:dyDescent="0.2">
      <c r="A297" s="71" t="s">
        <v>297</v>
      </c>
    </row>
    <row r="298" spans="1:1" x14ac:dyDescent="0.2">
      <c r="A298" s="71" t="s">
        <v>287</v>
      </c>
    </row>
    <row r="299" spans="1:1" x14ac:dyDescent="0.2">
      <c r="A299" s="71" t="s">
        <v>81</v>
      </c>
    </row>
    <row r="300" spans="1:1" x14ac:dyDescent="0.2">
      <c r="A300" s="71" t="s">
        <v>82</v>
      </c>
    </row>
    <row r="301" spans="1:1" x14ac:dyDescent="0.2">
      <c r="A301" s="71" t="s">
        <v>302</v>
      </c>
    </row>
    <row r="302" spans="1:1" x14ac:dyDescent="0.2">
      <c r="A302" s="71" t="s">
        <v>303</v>
      </c>
    </row>
    <row r="303" spans="1:1" x14ac:dyDescent="0.2">
      <c r="A303" s="71" t="s">
        <v>123</v>
      </c>
    </row>
    <row r="304" spans="1:1" x14ac:dyDescent="0.2">
      <c r="A304" s="71" t="s">
        <v>119</v>
      </c>
    </row>
    <row r="305" spans="1:1" x14ac:dyDescent="0.2">
      <c r="A305" s="71" t="s">
        <v>124</v>
      </c>
    </row>
    <row r="306" spans="1:1" x14ac:dyDescent="0.2">
      <c r="A306" s="71" t="s">
        <v>61</v>
      </c>
    </row>
    <row r="307" spans="1:1" x14ac:dyDescent="0.2">
      <c r="A307" s="71" t="s">
        <v>54</v>
      </c>
    </row>
    <row r="308" spans="1:1" x14ac:dyDescent="0.2">
      <c r="A308" s="71" t="s">
        <v>50</v>
      </c>
    </row>
    <row r="309" spans="1:1" x14ac:dyDescent="0.2">
      <c r="A309" s="71" t="s">
        <v>126</v>
      </c>
    </row>
    <row r="310" spans="1:1" x14ac:dyDescent="0.2">
      <c r="A310" s="71" t="s">
        <v>51</v>
      </c>
    </row>
    <row r="311" spans="1:1" x14ac:dyDescent="0.2">
      <c r="A311" s="71" t="s">
        <v>65</v>
      </c>
    </row>
    <row r="312" spans="1:1" x14ac:dyDescent="0.2">
      <c r="A312" s="71" t="s">
        <v>51</v>
      </c>
    </row>
    <row r="313" spans="1:1" x14ac:dyDescent="0.2">
      <c r="A313" s="71" t="s">
        <v>127</v>
      </c>
    </row>
    <row r="314" spans="1:1" x14ac:dyDescent="0.2">
      <c r="A314" s="71" t="s">
        <v>51</v>
      </c>
    </row>
    <row r="315" spans="1:1" x14ac:dyDescent="0.2">
      <c r="A315" s="71" t="s">
        <v>128</v>
      </c>
    </row>
    <row r="316" spans="1:1" x14ac:dyDescent="0.2">
      <c r="A316" s="71" t="s">
        <v>147</v>
      </c>
    </row>
    <row r="317" spans="1:1" x14ac:dyDescent="0.2">
      <c r="A317" s="71" t="s">
        <v>129</v>
      </c>
    </row>
    <row r="318" spans="1:1" x14ac:dyDescent="0.2">
      <c r="A318" s="71" t="s">
        <v>130</v>
      </c>
    </row>
    <row r="319" spans="1:1" x14ac:dyDescent="0.2">
      <c r="A319" s="71" t="s">
        <v>53</v>
      </c>
    </row>
    <row r="320" spans="1:1" x14ac:dyDescent="0.2">
      <c r="A320" s="71" t="s">
        <v>131</v>
      </c>
    </row>
    <row r="321" spans="1:1" x14ac:dyDescent="0.2">
      <c r="A321" s="71" t="s">
        <v>132</v>
      </c>
    </row>
    <row r="322" spans="1:1" x14ac:dyDescent="0.2">
      <c r="A322" s="71" t="s">
        <v>304</v>
      </c>
    </row>
    <row r="323" spans="1:1" x14ac:dyDescent="0.2">
      <c r="A323" s="71" t="s">
        <v>305</v>
      </c>
    </row>
    <row r="324" spans="1:1" x14ac:dyDescent="0.2">
      <c r="A324" s="71" t="s">
        <v>306</v>
      </c>
    </row>
    <row r="325" spans="1:1" x14ac:dyDescent="0.2">
      <c r="A325" s="71" t="s">
        <v>133</v>
      </c>
    </row>
    <row r="326" spans="1:1" x14ac:dyDescent="0.2">
      <c r="A326" s="71" t="s">
        <v>61</v>
      </c>
    </row>
    <row r="327" spans="1:1" x14ac:dyDescent="0.2">
      <c r="A327" s="71" t="s">
        <v>134</v>
      </c>
    </row>
    <row r="328" spans="1:1" x14ac:dyDescent="0.2">
      <c r="A328" s="71" t="s">
        <v>135</v>
      </c>
    </row>
    <row r="329" spans="1:1" x14ac:dyDescent="0.2">
      <c r="A329" s="71" t="s">
        <v>53</v>
      </c>
    </row>
    <row r="330" spans="1:1" x14ac:dyDescent="0.2">
      <c r="A330" s="71" t="s">
        <v>136</v>
      </c>
    </row>
    <row r="331" spans="1:1" x14ac:dyDescent="0.2">
      <c r="A331" s="71" t="s">
        <v>137</v>
      </c>
    </row>
    <row r="332" spans="1:1" x14ac:dyDescent="0.2">
      <c r="A332" s="71" t="s">
        <v>307</v>
      </c>
    </row>
    <row r="333" spans="1:1" x14ac:dyDescent="0.2">
      <c r="A333" s="71" t="s">
        <v>308</v>
      </c>
    </row>
    <row r="334" spans="1:1" x14ac:dyDescent="0.2">
      <c r="A334" s="71" t="s">
        <v>309</v>
      </c>
    </row>
    <row r="335" spans="1:1" x14ac:dyDescent="0.2">
      <c r="A335" s="71" t="s">
        <v>133</v>
      </c>
    </row>
    <row r="336" spans="1:1" x14ac:dyDescent="0.2">
      <c r="A336" s="71" t="s">
        <v>138</v>
      </c>
    </row>
    <row r="337" spans="1:1" x14ac:dyDescent="0.2">
      <c r="A337" s="71" t="s">
        <v>62</v>
      </c>
    </row>
    <row r="338" spans="1:1" x14ac:dyDescent="0.2">
      <c r="A338" s="71" t="s">
        <v>51</v>
      </c>
    </row>
  </sheetData>
  <sheetProtection password="F507" sheet="1" objects="1" scenarios="1"/>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26</vt:i4>
      </vt:variant>
    </vt:vector>
  </HeadingPairs>
  <TitlesOfParts>
    <vt:vector size="30" baseType="lpstr">
      <vt:lpstr>Jacket</vt:lpstr>
      <vt:lpstr>Help</vt:lpstr>
      <vt:lpstr>General</vt:lpstr>
      <vt:lpstr>Output</vt:lpstr>
      <vt:lpstr>Braces</vt:lpstr>
      <vt:lpstr>coor_bat</vt:lpstr>
      <vt:lpstr>Dsection</vt:lpstr>
      <vt:lpstr>Elev_Base</vt:lpstr>
      <vt:lpstr>General_js</vt:lpstr>
      <vt:lpstr>Genie_Home</vt:lpstr>
      <vt:lpstr>Hsection</vt:lpstr>
      <vt:lpstr>Legsection</vt:lpstr>
      <vt:lpstr>Material</vt:lpstr>
      <vt:lpstr>MatLib</vt:lpstr>
      <vt:lpstr>Name_Base</vt:lpstr>
      <vt:lpstr>Jacket!Print_Area</vt:lpstr>
      <vt:lpstr>Output!Print_Area</vt:lpstr>
      <vt:lpstr>SectionLib</vt:lpstr>
      <vt:lpstr>SMData</vt:lpstr>
      <vt:lpstr>Title</vt:lpstr>
      <vt:lpstr>Unit_Base</vt:lpstr>
      <vt:lpstr>X1_Base</vt:lpstr>
      <vt:lpstr>X2_Base</vt:lpstr>
      <vt:lpstr>X2_Calc</vt:lpstr>
      <vt:lpstr>xbrace_base</vt:lpstr>
      <vt:lpstr>xbraces</vt:lpstr>
      <vt:lpstr>Y1_Base</vt:lpstr>
      <vt:lpstr>Y2_Base</vt:lpstr>
      <vt:lpstr>Y2_Calc</vt:lpstr>
      <vt:lpstr>ybrace_base</vt:lpstr>
    </vt:vector>
  </TitlesOfParts>
  <Company>Det Norske Veritas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Jacket_Utility</dc:title>
  <dc:subject>Jacket modelling utility</dc:subject>
  <dc:creator>Odd</dc:creator>
  <cp:keywords>Jacket modelling utility genie</cp:keywords>
  <cp:lastModifiedBy>Odd Solheim</cp:lastModifiedBy>
  <cp:lastPrinted>2003-05-27T10:45:26Z</cp:lastPrinted>
  <dcterms:created xsi:type="dcterms:W3CDTF">2003-03-06T11:34:13Z</dcterms:created>
  <dcterms:modified xsi:type="dcterms:W3CDTF">2013-04-09T10:51:37Z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
    <vt:lpwstr>Version 1.0-03</vt:lpwstr>
  </property>
</Properties>
</file>