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360" yWindow="135" windowWidth="8820" windowHeight="6630"/>
  </bookViews>
  <sheets>
    <sheet name="Deck" sheetId="1" r:id="rId1"/>
    <sheet name="Help" sheetId="4" r:id="rId2"/>
    <sheet name="General" sheetId="2" r:id="rId3"/>
    <sheet name="Output" sheetId="3" r:id="rId4"/>
  </sheets>
  <functionGroups builtInGroupCount="17"/>
  <definedNames>
    <definedName name="Braces">Deck!$D$27</definedName>
    <definedName name="coor_bat">Deck!$D$23</definedName>
    <definedName name="Dsection">Deck!$D$60</definedName>
    <definedName name="Elev_Base">Deck!$AI$20</definedName>
    <definedName name="General_js">Output!$A$1</definedName>
    <definedName name="Genie_Home">General!$C$4</definedName>
    <definedName name="hhh">Deck!#REF!</definedName>
    <definedName name="Hsection">Deck!$D$61</definedName>
    <definedName name="Legsection">Deck!$D$59</definedName>
    <definedName name="Material">Deck!$D$55</definedName>
    <definedName name="MatLib">General!$C$41</definedName>
    <definedName name="MY_Beams">Deck!$AK$23</definedName>
    <definedName name="Name_Base">General!$D$72</definedName>
    <definedName name="_xlnm.Print_Area" localSheetId="0">Deck!$A$1:$AF$86</definedName>
    <definedName name="_xlnm.Print_Area" localSheetId="3">Output!$A$8:$A$27</definedName>
    <definedName name="SectionLib">General!$C$10</definedName>
    <definedName name="SMData">General!$C$10</definedName>
    <definedName name="Title">Deck!$C$3</definedName>
    <definedName name="Unit_Base">Deck!$D$72</definedName>
    <definedName name="X_Beams">Deck!$AK$23</definedName>
    <definedName name="X_Col">Deck!$AK$24</definedName>
    <definedName name="X1_Base">Deck!$AK$25</definedName>
    <definedName name="X2_Base">Deck!$AK$23</definedName>
    <definedName name="X2_Calc">Deck!$AK$6</definedName>
    <definedName name="xbrace_base">Deck!$F$27</definedName>
    <definedName name="xbraces">Deck!$G$27</definedName>
    <definedName name="Y_Beams">Deck!$AK$47</definedName>
    <definedName name="Y_Col">Deck!$AK$48</definedName>
    <definedName name="Y1_Base">Deck!$AK$49</definedName>
    <definedName name="Y2_Base">Deck!$AK$47</definedName>
    <definedName name="Y2_Calc">Deck!$AK$30</definedName>
    <definedName name="ybrace_base">Deck!$F$51</definedName>
    <definedName name="ybraces">Deck!#REF!</definedName>
  </definedNames>
  <calcPr calcId="145621"/>
</workbook>
</file>

<file path=xl/calcChain.xml><?xml version="1.0" encoding="utf-8"?>
<calcChain xmlns="http://schemas.openxmlformats.org/spreadsheetml/2006/main">
  <c r="G142" i="4" l="1"/>
  <c r="G141" i="4"/>
  <c r="G140" i="4"/>
  <c r="G139" i="4"/>
  <c r="G138" i="4"/>
  <c r="G137" i="4"/>
  <c r="G136" i="4"/>
  <c r="G135" i="4"/>
  <c r="G134" i="4"/>
  <c r="G133" i="4"/>
  <c r="G132" i="4"/>
  <c r="G131" i="4"/>
  <c r="G130" i="4"/>
  <c r="G129" i="4"/>
  <c r="G128" i="4"/>
  <c r="G127" i="4"/>
  <c r="G126" i="4"/>
  <c r="G125" i="4"/>
  <c r="G124" i="4"/>
  <c r="G123" i="4"/>
  <c r="J122" i="4"/>
  <c r="G122" i="4"/>
  <c r="J121" i="4"/>
  <c r="G121" i="4"/>
  <c r="J120" i="4"/>
  <c r="G120" i="4"/>
  <c r="J119" i="4"/>
  <c r="G119" i="4"/>
  <c r="J118" i="4"/>
  <c r="G118" i="4"/>
  <c r="J117" i="4"/>
  <c r="G117" i="4"/>
  <c r="J116" i="4"/>
  <c r="G116" i="4"/>
  <c r="BL50" i="4"/>
  <c r="BJ50" i="4"/>
  <c r="BH50" i="4"/>
  <c r="BF50" i="4"/>
  <c r="BD50" i="4"/>
  <c r="BB50" i="4"/>
  <c r="AZ50" i="4"/>
  <c r="AX50" i="4"/>
  <c r="AV50" i="4"/>
  <c r="AT50" i="4"/>
  <c r="AR50" i="4"/>
  <c r="AP50" i="4"/>
  <c r="AN50" i="4"/>
  <c r="AL50" i="4"/>
  <c r="BM49" i="4"/>
  <c r="BK49" i="4"/>
  <c r="AE46" i="4"/>
  <c r="BI49" i="4"/>
  <c r="BG49" i="4"/>
  <c r="AA46" i="4"/>
  <c r="BE49" i="4"/>
  <c r="BC49" i="4"/>
  <c r="BA49" i="4"/>
  <c r="AK49" i="4"/>
  <c r="AM49" i="4"/>
  <c r="BM48" i="4"/>
  <c r="BK48" i="4"/>
  <c r="BI48" i="4"/>
  <c r="BG48" i="4"/>
  <c r="BE48" i="4"/>
  <c r="BC48" i="4"/>
  <c r="BA48" i="4"/>
  <c r="AY48" i="4"/>
  <c r="AW48" i="4"/>
  <c r="AU48" i="4"/>
  <c r="AS48" i="4"/>
  <c r="AQ48" i="4"/>
  <c r="AO48" i="4"/>
  <c r="AM48" i="4"/>
  <c r="AK48" i="4"/>
  <c r="BM47" i="4"/>
  <c r="BK47" i="4"/>
  <c r="BI47" i="4"/>
  <c r="BG47" i="4"/>
  <c r="BE47" i="4"/>
  <c r="BC47" i="4"/>
  <c r="BA47" i="4"/>
  <c r="AY47" i="4"/>
  <c r="AW47" i="4"/>
  <c r="AU47" i="4"/>
  <c r="AS47" i="4"/>
  <c r="AQ47" i="4"/>
  <c r="AO47" i="4"/>
  <c r="AM47" i="4"/>
  <c r="AK47" i="4"/>
  <c r="AE31" i="4"/>
  <c r="AC31" i="4"/>
  <c r="AC46" i="4"/>
  <c r="AA31" i="4"/>
  <c r="Y31" i="4"/>
  <c r="Y46" i="4"/>
  <c r="W31" i="4"/>
  <c r="W46" i="4"/>
  <c r="U31" i="4"/>
  <c r="U46" i="4"/>
  <c r="S31" i="4"/>
  <c r="Q31" i="4"/>
  <c r="O31" i="4"/>
  <c r="M31" i="4"/>
  <c r="K31" i="4"/>
  <c r="I31" i="4"/>
  <c r="G31" i="4"/>
  <c r="E31" i="4"/>
  <c r="AI20" i="4"/>
  <c r="C44" i="4"/>
  <c r="AJ19" i="4"/>
  <c r="D43" i="4"/>
  <c r="AJ17" i="4"/>
  <c r="D41" i="4"/>
  <c r="AJ15" i="4"/>
  <c r="D39" i="4"/>
  <c r="AJ13" i="4"/>
  <c r="D37" i="4"/>
  <c r="AI12" i="4"/>
  <c r="C36" i="4"/>
  <c r="AJ11" i="4"/>
  <c r="D35" i="4"/>
  <c r="AI10" i="4"/>
  <c r="C34" i="4"/>
  <c r="AJ9" i="4"/>
  <c r="D33" i="4"/>
  <c r="AI8" i="4"/>
  <c r="C32" i="4"/>
  <c r="BL26" i="4"/>
  <c r="BJ26" i="4"/>
  <c r="BH26" i="4"/>
  <c r="BF26" i="4"/>
  <c r="BD26" i="4"/>
  <c r="BB26" i="4"/>
  <c r="AZ26" i="4"/>
  <c r="AX26" i="4"/>
  <c r="AV26" i="4"/>
  <c r="AT26" i="4"/>
  <c r="AR26" i="4"/>
  <c r="AP26" i="4"/>
  <c r="AN26" i="4"/>
  <c r="AL26" i="4"/>
  <c r="BM25" i="4"/>
  <c r="BK25" i="4"/>
  <c r="BI25" i="4"/>
  <c r="AC22" i="4"/>
  <c r="BG25" i="4"/>
  <c r="AA22" i="4"/>
  <c r="BE25" i="4"/>
  <c r="BC25" i="4"/>
  <c r="BA25" i="4"/>
  <c r="U22" i="4"/>
  <c r="AK25" i="4"/>
  <c r="AM25" i="4"/>
  <c r="AO25" i="4"/>
  <c r="BM24" i="4"/>
  <c r="BK24" i="4"/>
  <c r="BI24" i="4"/>
  <c r="BG24" i="4"/>
  <c r="BE24" i="4"/>
  <c r="BC24" i="4"/>
  <c r="BA24" i="4"/>
  <c r="AY24" i="4"/>
  <c r="AW24" i="4"/>
  <c r="AU24" i="4"/>
  <c r="AS24" i="4"/>
  <c r="AQ24" i="4"/>
  <c r="AO24" i="4"/>
  <c r="AM24" i="4"/>
  <c r="AK24" i="4"/>
  <c r="BM23" i="4"/>
  <c r="BK23" i="4"/>
  <c r="BI23" i="4"/>
  <c r="BG23" i="4"/>
  <c r="BE23" i="4"/>
  <c r="BC23" i="4"/>
  <c r="BA23" i="4"/>
  <c r="AY23" i="4"/>
  <c r="AW23" i="4"/>
  <c r="AU23" i="4"/>
  <c r="AS23" i="4"/>
  <c r="AQ23" i="4"/>
  <c r="AO23" i="4"/>
  <c r="AM23" i="4"/>
  <c r="AK23" i="4"/>
  <c r="AE7" i="4"/>
  <c r="AE22" i="4"/>
  <c r="AC7" i="4"/>
  <c r="AA7" i="4"/>
  <c r="Y7" i="4"/>
  <c r="Y22" i="4"/>
  <c r="W7" i="4"/>
  <c r="W22" i="4"/>
  <c r="U7" i="4"/>
  <c r="S7" i="4"/>
  <c r="Q7" i="4"/>
  <c r="O7" i="4"/>
  <c r="M7" i="4"/>
  <c r="K7" i="4"/>
  <c r="I7" i="4"/>
  <c r="G7" i="4"/>
  <c r="G22" i="4"/>
  <c r="E7" i="4"/>
  <c r="E22" i="4"/>
  <c r="B20" i="4"/>
  <c r="B18" i="4"/>
  <c r="B16" i="4"/>
  <c r="B14" i="4"/>
  <c r="B12" i="4"/>
  <c r="B11" i="4"/>
  <c r="B10" i="4"/>
  <c r="B8" i="4"/>
  <c r="AE7" i="1"/>
  <c r="AC7" i="1"/>
  <c r="AA7" i="1"/>
  <c r="Y7" i="1"/>
  <c r="W7" i="1"/>
  <c r="U7" i="1"/>
  <c r="S7" i="1"/>
  <c r="Q7" i="1"/>
  <c r="O7" i="1"/>
  <c r="AK25" i="1"/>
  <c r="E22" i="1"/>
  <c r="BD50" i="1"/>
  <c r="BF50" i="1"/>
  <c r="BH50" i="1"/>
  <c r="BJ50" i="1"/>
  <c r="BL50" i="1"/>
  <c r="BI49" i="1"/>
  <c r="BG49" i="1"/>
  <c r="AK49" i="1"/>
  <c r="AM49" i="1"/>
  <c r="BA49" i="1"/>
  <c r="BC49" i="1"/>
  <c r="BE49" i="1"/>
  <c r="BM49" i="1"/>
  <c r="BK49" i="1"/>
  <c r="AE46" i="1"/>
  <c r="BM48" i="1"/>
  <c r="BK48" i="1"/>
  <c r="BI48" i="1"/>
  <c r="BG48" i="1"/>
  <c r="BE48" i="1"/>
  <c r="BM47" i="1"/>
  <c r="BK47" i="1"/>
  <c r="BI47" i="1"/>
  <c r="BG47" i="1"/>
  <c r="BE47" i="1"/>
  <c r="BD26" i="1"/>
  <c r="BF26" i="1"/>
  <c r="BH26" i="1"/>
  <c r="BE25" i="1"/>
  <c r="Y22" i="1" s="1"/>
  <c r="BG25" i="1"/>
  <c r="AA22" i="1" s="1"/>
  <c r="BI25" i="1"/>
  <c r="AC22" i="1"/>
  <c r="BK25" i="1"/>
  <c r="AE22" i="1"/>
  <c r="BJ26" i="1"/>
  <c r="BL26" i="1"/>
  <c r="BM25" i="1"/>
  <c r="BM24" i="1"/>
  <c r="BK24" i="1"/>
  <c r="BI24" i="1"/>
  <c r="BG24" i="1"/>
  <c r="BE24" i="1"/>
  <c r="BM23" i="1"/>
  <c r="BK23" i="1"/>
  <c r="BI23" i="1"/>
  <c r="BG23" i="1"/>
  <c r="BE23" i="1"/>
  <c r="BC48" i="1"/>
  <c r="BA48" i="1"/>
  <c r="AY48" i="1"/>
  <c r="AW48" i="1"/>
  <c r="AU48" i="1"/>
  <c r="AS48" i="1"/>
  <c r="AQ48" i="1"/>
  <c r="AO48" i="1"/>
  <c r="AM48" i="1"/>
  <c r="AK48" i="1"/>
  <c r="BC24" i="1"/>
  <c r="BA24" i="1"/>
  <c r="AY24" i="1"/>
  <c r="AW24" i="1"/>
  <c r="AU24" i="1"/>
  <c r="AS24" i="1"/>
  <c r="AQ24" i="1"/>
  <c r="AO24" i="1"/>
  <c r="AM24" i="1"/>
  <c r="AK24" i="1"/>
  <c r="BC23" i="1"/>
  <c r="BA23" i="1"/>
  <c r="AY23" i="1"/>
  <c r="AW23" i="1"/>
  <c r="AU23" i="1"/>
  <c r="AS23" i="1"/>
  <c r="AQ23" i="1"/>
  <c r="AO23" i="1"/>
  <c r="AM23" i="1"/>
  <c r="AK23" i="1"/>
  <c r="BC47" i="1"/>
  <c r="BA47" i="1"/>
  <c r="AY47" i="1"/>
  <c r="AW47" i="1"/>
  <c r="AU47" i="1"/>
  <c r="AS47" i="1"/>
  <c r="AQ47" i="1"/>
  <c r="AO47" i="1"/>
  <c r="AK47" i="1"/>
  <c r="AM47" i="1"/>
  <c r="AI20" i="1"/>
  <c r="AI18" i="1"/>
  <c r="AI16" i="1"/>
  <c r="AI14" i="1"/>
  <c r="B15" i="1"/>
  <c r="AI12" i="1"/>
  <c r="AI10" i="1"/>
  <c r="B11" i="1"/>
  <c r="AI8" i="1"/>
  <c r="B9" i="1"/>
  <c r="B13" i="1"/>
  <c r="B20" i="1"/>
  <c r="B18" i="1"/>
  <c r="B16" i="1"/>
  <c r="B14" i="1"/>
  <c r="B12" i="1"/>
  <c r="B10" i="1"/>
  <c r="B8" i="1"/>
  <c r="B21" i="1"/>
  <c r="M7" i="1"/>
  <c r="K7" i="1"/>
  <c r="I7" i="1"/>
  <c r="G7" i="1"/>
  <c r="E7" i="1"/>
  <c r="AE31" i="1"/>
  <c r="AC31" i="1"/>
  <c r="AC46" i="1"/>
  <c r="AA31" i="1"/>
  <c r="AA46" i="1"/>
  <c r="Y31" i="1"/>
  <c r="Y46" i="1"/>
  <c r="W31" i="1"/>
  <c r="W46" i="1"/>
  <c r="U31" i="1"/>
  <c r="U46" i="1"/>
  <c r="S31" i="1"/>
  <c r="Q31" i="1"/>
  <c r="O31" i="1"/>
  <c r="M31" i="1"/>
  <c r="K31" i="1"/>
  <c r="I31" i="1"/>
  <c r="G31" i="1"/>
  <c r="E31" i="1"/>
  <c r="C44" i="1"/>
  <c r="C42" i="1"/>
  <c r="C38" i="1"/>
  <c r="C36" i="1"/>
  <c r="C34" i="1"/>
  <c r="C32" i="1"/>
  <c r="AJ19" i="1"/>
  <c r="D43" i="1"/>
  <c r="AJ17" i="1"/>
  <c r="D41" i="1"/>
  <c r="AJ13" i="1"/>
  <c r="D37" i="1"/>
  <c r="AJ11" i="1"/>
  <c r="D35" i="1"/>
  <c r="AJ9" i="1"/>
  <c r="D33" i="1"/>
  <c r="G141" i="1"/>
  <c r="G140" i="1"/>
  <c r="G139" i="1"/>
  <c r="G138" i="1"/>
  <c r="G137" i="1"/>
  <c r="G136" i="1"/>
  <c r="G135" i="1"/>
  <c r="G134" i="1"/>
  <c r="G133" i="1"/>
  <c r="G132" i="1"/>
  <c r="G131" i="1"/>
  <c r="G130" i="1"/>
  <c r="G129" i="1"/>
  <c r="G128" i="1"/>
  <c r="G127" i="1"/>
  <c r="G126" i="1"/>
  <c r="G125" i="1"/>
  <c r="G124" i="1"/>
  <c r="G123" i="1"/>
  <c r="G122" i="1"/>
  <c r="G121" i="1"/>
  <c r="G120" i="1"/>
  <c r="G119" i="1"/>
  <c r="G118" i="1"/>
  <c r="G117" i="1"/>
  <c r="E46" i="1"/>
  <c r="J122" i="1"/>
  <c r="J121" i="1"/>
  <c r="J120" i="1"/>
  <c r="J119" i="1"/>
  <c r="J118" i="1"/>
  <c r="J117" i="1"/>
  <c r="J116" i="1"/>
  <c r="G142" i="1"/>
  <c r="G116" i="1"/>
  <c r="BB50" i="1"/>
  <c r="AZ50" i="1"/>
  <c r="AX50" i="1"/>
  <c r="AV50" i="1"/>
  <c r="AT50" i="1"/>
  <c r="AR50" i="1"/>
  <c r="AP50" i="1"/>
  <c r="AN50" i="1"/>
  <c r="AL50" i="1"/>
  <c r="BB26" i="1"/>
  <c r="AZ26" i="1"/>
  <c r="AX26" i="1"/>
  <c r="AV26" i="1"/>
  <c r="AT26" i="1"/>
  <c r="AR26" i="1"/>
  <c r="AP26" i="1"/>
  <c r="AN26" i="1"/>
  <c r="AL26" i="1"/>
  <c r="AO49" i="4"/>
  <c r="G46" i="4"/>
  <c r="C40" i="1"/>
  <c r="B17" i="1"/>
  <c r="AJ15" i="1"/>
  <c r="D39" i="1"/>
  <c r="AO49" i="1"/>
  <c r="G46" i="1"/>
  <c r="AQ25" i="4"/>
  <c r="I22" i="4"/>
  <c r="B9" i="4"/>
  <c r="AI18" i="4"/>
  <c r="AM25" i="1"/>
  <c r="B13" i="4"/>
  <c r="B21" i="4"/>
  <c r="B19" i="1"/>
  <c r="E46" i="4"/>
  <c r="AQ49" i="1"/>
  <c r="I46" i="1"/>
  <c r="AO25" i="1"/>
  <c r="G22" i="1"/>
  <c r="AI16" i="4"/>
  <c r="B19" i="4"/>
  <c r="C42" i="4"/>
  <c r="K22" i="4"/>
  <c r="AS25" i="4"/>
  <c r="I46" i="4"/>
  <c r="AQ49" i="4"/>
  <c r="C40" i="4"/>
  <c r="AI14" i="4"/>
  <c r="B17" i="4"/>
  <c r="K46" i="4"/>
  <c r="AS49" i="4"/>
  <c r="AQ25" i="1"/>
  <c r="I22" i="1"/>
  <c r="M22" i="4"/>
  <c r="AU25" i="4"/>
  <c r="AS49" i="1"/>
  <c r="K46" i="1"/>
  <c r="AS25" i="1"/>
  <c r="K22" i="1"/>
  <c r="M46" i="4"/>
  <c r="AU49" i="4"/>
  <c r="M46" i="1"/>
  <c r="AU49" i="1"/>
  <c r="B15" i="4"/>
  <c r="C38" i="4"/>
  <c r="O22" i="4"/>
  <c r="AW25" i="4"/>
  <c r="O46" i="1"/>
  <c r="AW49" i="1"/>
  <c r="AW49" i="4"/>
  <c r="O46" i="4"/>
  <c r="Q22" i="4"/>
  <c r="AY25" i="4"/>
  <c r="S22" i="4"/>
  <c r="M22" i="1"/>
  <c r="AU25" i="1"/>
  <c r="AW25" i="1" s="1"/>
  <c r="AY49" i="4"/>
  <c r="S46" i="4"/>
  <c r="Q46" i="4"/>
  <c r="Q46" i="1"/>
  <c r="AY49" i="1"/>
  <c r="S46" i="1"/>
  <c r="Q22" i="1" l="1"/>
  <c r="AY25" i="1"/>
  <c r="O22" i="1"/>
  <c r="BA25" i="1" l="1"/>
  <c r="S22" i="1"/>
  <c r="U22" i="1" l="1"/>
  <c r="BC25" i="1"/>
  <c r="W22" i="1" s="1"/>
</calcChain>
</file>

<file path=xl/sharedStrings.xml><?xml version="1.0" encoding="utf-8"?>
<sst xmlns="http://schemas.openxmlformats.org/spreadsheetml/2006/main" count="1600" uniqueCount="624">
  <si>
    <t>X</t>
  </si>
  <si>
    <t>No</t>
  </si>
  <si>
    <t>/</t>
  </si>
  <si>
    <t>\</t>
  </si>
  <si>
    <t>Braces</t>
  </si>
  <si>
    <t>Elevations</t>
  </si>
  <si>
    <t>Y1</t>
  </si>
  <si>
    <t>Y2</t>
  </si>
  <si>
    <t>Y3</t>
  </si>
  <si>
    <t>Y4</t>
  </si>
  <si>
    <t>Y5</t>
  </si>
  <si>
    <t>Y6</t>
  </si>
  <si>
    <t>Y7</t>
  </si>
  <si>
    <t>Y8</t>
  </si>
  <si>
    <t>Y9</t>
  </si>
  <si>
    <t>XZ-Plane</t>
  </si>
  <si>
    <t>X1</t>
  </si>
  <si>
    <t>X2</t>
  </si>
  <si>
    <t>X3</t>
  </si>
  <si>
    <t>X4</t>
  </si>
  <si>
    <t>X5</t>
  </si>
  <si>
    <t>X6</t>
  </si>
  <si>
    <t>X7</t>
  </si>
  <si>
    <t>X8</t>
  </si>
  <si>
    <t>X9</t>
  </si>
  <si>
    <t>Z1</t>
  </si>
  <si>
    <t>Z2</t>
  </si>
  <si>
    <t>Z6</t>
  </si>
  <si>
    <t>Z5</t>
  </si>
  <si>
    <t>Z4</t>
  </si>
  <si>
    <t>Z3</t>
  </si>
  <si>
    <t>Spaces</t>
  </si>
  <si>
    <t>Elev. Nr.</t>
  </si>
  <si>
    <t xml:space="preserve">// </t>
  </si>
  <si>
    <t>//</t>
  </si>
  <si>
    <t>var X1 = new Array();</t>
  </si>
  <si>
    <t xml:space="preserve">    {</t>
  </si>
  <si>
    <t>}</t>
  </si>
  <si>
    <t>var X2 = new Array();</t>
  </si>
  <si>
    <t>var Y1 = new Array();</t>
  </si>
  <si>
    <t>var Y2 = new Array();</t>
  </si>
  <si>
    <t>var Z1 = new Array();</t>
  </si>
  <si>
    <t>// Cross section library</t>
  </si>
  <si>
    <t>// Material library</t>
  </si>
  <si>
    <t xml:space="preserve">    }</t>
  </si>
  <si>
    <t xml:space="preserve">     }</t>
  </si>
  <si>
    <t>MakeLeg(X1, X2, Y1, Y2, Z1, "Leg");</t>
  </si>
  <si>
    <t xml:space="preserve">{       </t>
  </si>
  <si>
    <t xml:space="preserve">        var i, j, k;</t>
  </si>
  <si>
    <t xml:space="preserve">        var Pts1 = new Array();</t>
  </si>
  <si>
    <t xml:space="preserve">        var Bms1 = new Array();</t>
  </si>
  <si>
    <t xml:space="preserve">         {</t>
  </si>
  <si>
    <t xml:space="preserve">                   {</t>
  </si>
  <si>
    <t xml:space="preserve">                //</t>
  </si>
  <si>
    <t xml:space="preserve">                //      Calculate x coordinate for intermediate points</t>
  </si>
  <si>
    <t xml:space="preserve">                //        </t>
  </si>
  <si>
    <t xml:space="preserve">                //      Calculate y coordinate for intermediate points</t>
  </si>
  <si>
    <t xml:space="preserve">                    }</t>
  </si>
  <si>
    <t xml:space="preserve">                    {</t>
  </si>
  <si>
    <t xml:space="preserve">                        var Bms1 = new Array();</t>
  </si>
  <si>
    <t xml:space="preserve">          }</t>
  </si>
  <si>
    <t xml:space="preserve">                var Bms1 = new Array();</t>
  </si>
  <si>
    <t>//   X1-values in bottom of section</t>
  </si>
  <si>
    <t>//           X2 is an array containing the distances from origin to the top of the legs in X-direction</t>
  </si>
  <si>
    <t>//           Y2 is an array containing the distances from origin to the top of the legs in Y-direction</t>
  </si>
  <si>
    <t>//           Y1 is an array containing the distances from origin to the bottom of the legs in Y-direction</t>
  </si>
  <si>
    <t>//           Z1 is an array containing the distances from origin to the horizontal frames in Z-direction</t>
  </si>
  <si>
    <t>//           X1 is an array containing the distances from origin to the bottom of the legs in X-direction</t>
  </si>
  <si>
    <t>Title:</t>
  </si>
  <si>
    <t>Storegrunn</t>
  </si>
  <si>
    <t>K</t>
  </si>
  <si>
    <t>var xBrace = new Array();</t>
  </si>
  <si>
    <t>var yBrace = new Array();</t>
  </si>
  <si>
    <t>Material</t>
  </si>
  <si>
    <t>Cross sections</t>
  </si>
  <si>
    <t>Diagonal braces</t>
  </si>
  <si>
    <t>General data:</t>
  </si>
  <si>
    <t>//  Coordinate arrays</t>
  </si>
  <si>
    <t>Valid</t>
  </si>
  <si>
    <t>St44</t>
  </si>
  <si>
    <t xml:space="preserve">//  </t>
  </si>
  <si>
    <t>Valid Section</t>
  </si>
  <si>
    <t>Valid Brace</t>
  </si>
  <si>
    <t>//  Number of Points in X,Y and Z direction</t>
  </si>
  <si>
    <t>var XL = X1.length;</t>
  </si>
  <si>
    <t>var YL = Y1.length;</t>
  </si>
  <si>
    <t>var ZL = Z1.length;</t>
  </si>
  <si>
    <t>//        Print("Zs last element = " +Zs[ZL-1]);</t>
  </si>
  <si>
    <t xml:space="preserve">        </t>
  </si>
  <si>
    <t xml:space="preserve">                Bms1[i].material = ThisMaterial;</t>
  </si>
  <si>
    <t>// End of function MakeLeg</t>
  </si>
  <si>
    <t>{</t>
  </si>
  <si>
    <t>var i, j, k;</t>
  </si>
  <si>
    <t xml:space="preserve">                Bms1[i].section = Dsection;</t>
  </si>
  <si>
    <t xml:space="preserve">         }</t>
  </si>
  <si>
    <t>// End function MakeBraceUpX</t>
  </si>
  <si>
    <t>// Creating legs and horizontal frames</t>
  </si>
  <si>
    <t>// Adding braces</t>
  </si>
  <si>
    <t>var NrxBrace = xBrace.length;</t>
  </si>
  <si>
    <t>//    X-direction</t>
  </si>
  <si>
    <t xml:space="preserve">    for (i = 0;i&lt;(NrxBrace); i++)</t>
  </si>
  <si>
    <t xml:space="preserve">         Thisbrace = xBrace[i];</t>
  </si>
  <si>
    <t xml:space="preserve">         // This is due to a scripting error and should be replaced by "if (xBrace[i] == "braceup") "</t>
  </si>
  <si>
    <t xml:space="preserve">         else if (Thisbrace == "kbrace") { Print("K-Brace not implemented"); }</t>
  </si>
  <si>
    <t>//    Y-direction</t>
  </si>
  <si>
    <t xml:space="preserve">    for (i = 0;i&lt;(NryBrace); i++)</t>
  </si>
  <si>
    <t xml:space="preserve">         Thisbrace = yBrace[i];</t>
  </si>
  <si>
    <t xml:space="preserve">         // This is due to a scripting error and should be replaced by "if (yBrace[i] == "braceup") "</t>
  </si>
  <si>
    <t xml:space="preserve">         else if (Thisbrace == "nobrace") {  }</t>
  </si>
  <si>
    <t>&gt;</t>
  </si>
  <si>
    <t>Spacing</t>
  </si>
  <si>
    <t>Elevation</t>
  </si>
  <si>
    <t xml:space="preserve">                        {</t>
  </si>
  <si>
    <t xml:space="preserve">                        DelZ = Zs[ZL-2]- Zs[0];</t>
  </si>
  <si>
    <t xml:space="preserve">                        }</t>
  </si>
  <si>
    <t xml:space="preserve">                //                                      </t>
  </si>
  <si>
    <t>var NryBrace = yBrace.length;</t>
  </si>
  <si>
    <t>Z0</t>
  </si>
  <si>
    <t>Spacings</t>
  </si>
  <si>
    <t>X10</t>
  </si>
  <si>
    <t>X-coord</t>
  </si>
  <si>
    <t>Leg</t>
  </si>
  <si>
    <t>Batter or Coord</t>
  </si>
  <si>
    <t>Batter</t>
  </si>
  <si>
    <t>Y-coord</t>
  </si>
  <si>
    <t>Y-Coord</t>
  </si>
  <si>
    <t>Y10</t>
  </si>
  <si>
    <t>Coordinates</t>
  </si>
  <si>
    <t>Valid Materials</t>
  </si>
  <si>
    <t>//   X2-values at top of section</t>
  </si>
  <si>
    <t>//   Y1-values in bottom of section</t>
  </si>
  <si>
    <t>//   Y2-values at top of section</t>
  </si>
  <si>
    <t>//   Z1  elevations</t>
  </si>
  <si>
    <t>//   Braces in X direction</t>
  </si>
  <si>
    <t>//   Braces in Y direction</t>
  </si>
  <si>
    <t>Database Units</t>
  </si>
  <si>
    <t>Length</t>
  </si>
  <si>
    <t>Force</t>
  </si>
  <si>
    <t>Temperature</t>
  </si>
  <si>
    <t>Name Pattern</t>
  </si>
  <si>
    <t>Point</t>
  </si>
  <si>
    <t>X-direction</t>
  </si>
  <si>
    <t>Y-direction</t>
  </si>
  <si>
    <t>Z-direction</t>
  </si>
  <si>
    <t>AA</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</si>
  <si>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</si>
  <si>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</si>
  <si>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</si>
  <si>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</si>
  <si>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</si>
  <si>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</si>
  <si>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</si>
  <si>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</si>
  <si>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</si>
  <si>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</si>
  <si>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</si>
  <si>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</si>
  <si>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</si>
  <si>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</si>
  <si>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</si>
  <si>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</si>
  <si>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</si>
  <si>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</si>
  <si>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</si>
  <si>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</si>
  <si>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</si>
  <si>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</si>
  <si>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</si>
  <si>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</si>
  <si>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</si>
  <si>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</si>
  <si>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</si>
  <si>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</si>
  <si>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</si>
  <si>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</si>
  <si>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</si>
  <si>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</si>
  <si>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</si>
  <si>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</si>
  <si>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</si>
  <si>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</si>
  <si>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</si>
  <si>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Type</t>
  </si>
  <si>
    <t>The names of model objects such as points and beams are</t>
  </si>
  <si>
    <r>
      <t xml:space="preserve">Prefix for each </t>
    </r>
    <r>
      <rPr>
        <b/>
        <sz val="10"/>
        <rFont val="Arial"/>
        <family val="2"/>
      </rPr>
      <t>Type</t>
    </r>
    <r>
      <rPr>
        <sz val="10"/>
        <rFont val="Arial"/>
      </rPr>
      <t xml:space="preserve"> of model object</t>
    </r>
  </si>
  <si>
    <t>47</t>
  </si>
  <si>
    <t>48</t>
  </si>
  <si>
    <t>49</t>
  </si>
  <si>
    <t>50</t>
  </si>
  <si>
    <t>AB</t>
  </si>
  <si>
    <t>AC</t>
  </si>
  <si>
    <t>AD</t>
  </si>
  <si>
    <t>AE</t>
  </si>
  <si>
    <t>AF</t>
  </si>
  <si>
    <t>AG</t>
  </si>
  <si>
    <t>AH</t>
  </si>
  <si>
    <t>AI</t>
  </si>
  <si>
    <t>AJ</t>
  </si>
  <si>
    <t>AK</t>
  </si>
  <si>
    <t>AL</t>
  </si>
  <si>
    <t>AM</t>
  </si>
  <si>
    <t>AN</t>
  </si>
  <si>
    <t>AO</t>
  </si>
  <si>
    <t>AP</t>
  </si>
  <si>
    <t>AQ</t>
  </si>
  <si>
    <t>AR</t>
  </si>
  <si>
    <t>AS</t>
  </si>
  <si>
    <t>AT</t>
  </si>
  <si>
    <t>AU</t>
  </si>
  <si>
    <t>AV</t>
  </si>
  <si>
    <t>AW</t>
  </si>
  <si>
    <t>AY</t>
  </si>
  <si>
    <t>// First 2 characters of object names, denotes type</t>
  </si>
  <si>
    <t>// Characters 3 &amp; 4 of object names, denotes X-dir</t>
  </si>
  <si>
    <t>Diagonal brace Down ( \ ) X-dir</t>
  </si>
  <si>
    <t>Diagonal brace Down ( \ ) Y-dir</t>
  </si>
  <si>
    <t>Diagonal brace Up ( / ) X-dir</t>
  </si>
  <si>
    <t>Diagonal brace Up ( / ) Y-dir</t>
  </si>
  <si>
    <t>//           Nam1, Nam2, Nam3 and Nam4 are used to create names of points and beams</t>
  </si>
  <si>
    <t>function MakeLeg (X1s, X2s, Y1s, Y2s, Zs)</t>
  </si>
  <si>
    <t xml:space="preserve">        var XL = X1s.length;</t>
  </si>
  <si>
    <t xml:space="preserve">        var YL = Y1s.length;</t>
  </si>
  <si>
    <t xml:space="preserve">        var ZL = Zs.length;</t>
  </si>
  <si>
    <t xml:space="preserve">         for (i = 0;i&lt; XL; i++)</t>
  </si>
  <si>
    <t xml:space="preserve">                   for (k = 0; k &lt; ZL; k++)</t>
  </si>
  <si>
    <t xml:space="preserve">                        if (k&lt;(ZL-1))  // The upper part of the leg is vertical</t>
  </si>
  <si>
    <t xml:space="preserve">                        DelX = X2s[i]- X1s[i];</t>
  </si>
  <si>
    <t xml:space="preserve">                        Delz = Zs[k]- Zs[0];</t>
  </si>
  <si>
    <t xml:space="preserve">                        ThisX = X1s[i]+ Delz*DelX/DelZ;</t>
  </si>
  <si>
    <t xml:space="preserve">                        DelY = Y2s[j]- Y1s[j];</t>
  </si>
  <si>
    <t xml:space="preserve">                        ThisY = Y1s[j]+ Delz*DelY/DelZ;</t>
  </si>
  <si>
    <t xml:space="preserve">                        Pts1[k] = Point(ThisX, ThisY, Zs[k]);</t>
  </si>
  <si>
    <t xml:space="preserve">                        Pts1[k].name = Nam1[0] +Nam2[i] +Nam3[j] +Nam4[k] ;</t>
  </si>
  <si>
    <t xml:space="preserve">                //      Print ("Point "+Pts1[k].name +" created");</t>
  </si>
  <si>
    <t xml:space="preserve">                    for (k = 0;k&lt;(ZL-1); k++)</t>
  </si>
  <si>
    <t xml:space="preserve">                        Bms1[k] = Beam(Pts1[k], Pts1[k+1]);</t>
  </si>
  <si>
    <t xml:space="preserve">                        Bms1[k].name = Nam1[1] +Nam2[i] +Nam3[j] +Nam4[k] ;</t>
  </si>
  <si>
    <t xml:space="preserve">                        Bms1[k].section = Legsection;</t>
  </si>
  <si>
    <t xml:space="preserve">                        Bms1[k].material = ThisMaterial;</t>
  </si>
  <si>
    <t xml:space="preserve">         for (i = 0;i&lt; (XL-1); i++)</t>
  </si>
  <si>
    <t xml:space="preserve">         for (i = 0;i&lt; (XL); i++)</t>
  </si>
  <si>
    <t>function BraceUpX (Leg)</t>
  </si>
  <si>
    <t>// Creates /-braces from Leg to the next in X-direction</t>
  </si>
  <si>
    <t xml:space="preserve">    i = Leg;</t>
  </si>
  <si>
    <t xml:space="preserve">    for (j = 0; j&lt;(YL); j++)</t>
  </si>
  <si>
    <t>function BraceDownX (Leg)</t>
  </si>
  <si>
    <t>// Creates \-braces from Leg to the next in X-direction</t>
  </si>
  <si>
    <t xml:space="preserve">                Bms1[i] = Beam(GetNamedObject(Nam1[0] +Nam2[i] +Nam3[j] +Nam4[k+1]), GetNamedObject(Nam1[0] +Nam2[i+1] +Nam3[j] +Nam4[k]));</t>
  </si>
  <si>
    <t xml:space="preserve">                Bms1[i].name = Nam1[4] +Nam2[i] +Nam3[j] +Nam4[k] ;</t>
  </si>
  <si>
    <t>function BraceUpY (Leg)</t>
  </si>
  <si>
    <t>// Creates /-braces from Leg to the next in Y-direction</t>
  </si>
  <si>
    <t xml:space="preserve">    for (i = 0; i &lt;(XL); i++)</t>
  </si>
  <si>
    <t xml:space="preserve">      j = Leg;   </t>
  </si>
  <si>
    <t xml:space="preserve">                Bms1[i] = Beam(GetNamedObject(Nam1[0] +Nam2[i] +Nam3[j] +Nam4[k]), GetNamedObject(Nam1[0] +Nam2[i] +Nam3[j+1] +Nam4[k+1]));</t>
  </si>
  <si>
    <t xml:space="preserve">                Bms1[i].name = Nam1[7] +Nam2[i] +Nam3[j] +Nam4[k] ;</t>
  </si>
  <si>
    <t>function BraceDownY (Leg)</t>
  </si>
  <si>
    <t>// Creates \-braces from Leg1 to the next in Y-direction</t>
  </si>
  <si>
    <t xml:space="preserve">                Bms1[i] = Beam(GetNamedObject(Nam1[0] +Nam2[i] +Nam3[j] +Nam4[k+1]), GetNamedObject(Nam1[0] +Nam2[i] +Nam3[j+1] +Nam4[k]));</t>
  </si>
  <si>
    <t xml:space="preserve">                Bms1[i].name = Nam1[5] +Nam2[i] +Nam3[j] +Nam4[k] ;</t>
  </si>
  <si>
    <t xml:space="preserve">         if (Thisbrace == "braceup") { BraceUpX(i); }</t>
  </si>
  <si>
    <t xml:space="preserve">         else if (Thisbrace == "bracedown") { BraceDownX(i); }</t>
  </si>
  <si>
    <t xml:space="preserve">         else if (Thisbrace == "xbrace") { BraceUpX(i); BraceDownX(i); }</t>
  </si>
  <si>
    <t xml:space="preserve">         if (Thisbrace == "braceup") { BraceUpY(i);}</t>
  </si>
  <si>
    <t xml:space="preserve">         else if (Thisbrace == "bracedown") { BraceDownY(i);}</t>
  </si>
  <si>
    <t xml:space="preserve">         else if (Thisbrace == "xbrace") { BraceUpY(i); BraceDownY(i);}</t>
  </si>
  <si>
    <t xml:space="preserve">             for (j = 0;j&lt; YL; j++)</t>
  </si>
  <si>
    <t xml:space="preserve">             {</t>
  </si>
  <si>
    <t xml:space="preserve">             }</t>
  </si>
  <si>
    <t xml:space="preserve">             for (j = 0;j&lt; (YL-1); j++)</t>
  </si>
  <si>
    <t>var Nam1 = new Array();</t>
  </si>
  <si>
    <t>var Nam2 = new Array();</t>
  </si>
  <si>
    <t>var Nam3 = new Array();</t>
  </si>
  <si>
    <t>var Nam4 = new Array();</t>
  </si>
  <si>
    <t>// Characters 5 &amp; 6 of object names, denotes Y-dir</t>
  </si>
  <si>
    <t>// Characters 7 &amp; 8 of object names, denotes Z-dir</t>
  </si>
  <si>
    <t>m</t>
  </si>
  <si>
    <t>Valid Length Units</t>
  </si>
  <si>
    <t>Valid Force Units</t>
  </si>
  <si>
    <t>Valid Temp Units</t>
  </si>
  <si>
    <t>delC</t>
  </si>
  <si>
    <t>GenieRules.Units.setInputUnit(TempDiff,"delC");</t>
  </si>
  <si>
    <t>cm</t>
  </si>
  <si>
    <t>mm</t>
  </si>
  <si>
    <t>ft</t>
  </si>
  <si>
    <t>in</t>
  </si>
  <si>
    <t>N</t>
  </si>
  <si>
    <t>kgf</t>
  </si>
  <si>
    <t>lbf</t>
  </si>
  <si>
    <t>kipf</t>
  </si>
  <si>
    <t>delF</t>
  </si>
  <si>
    <t>GenieRules.Units.setInputUnit(Force,"N");</t>
  </si>
  <si>
    <t>Lists of string elements used to create model names (?)</t>
  </si>
  <si>
    <t>created by concatenation of 4 string elements.</t>
  </si>
  <si>
    <t>The first string element represent the object type.</t>
  </si>
  <si>
    <t>Second string element represent a step in X-direction</t>
  </si>
  <si>
    <t>Third string element  represent a step in Y-direction</t>
  </si>
  <si>
    <t>Fourth string element  represent a step in Z-direction</t>
  </si>
  <si>
    <t>The 4 string elements are taken from these lists:</t>
  </si>
  <si>
    <r>
      <t xml:space="preserve">Valid cross sections and materials for this project </t>
    </r>
    <r>
      <rPr>
        <b/>
        <u/>
        <sz val="12"/>
        <rFont val="Arial"/>
        <family val="2"/>
      </rPr>
      <t>(?)</t>
    </r>
  </si>
  <si>
    <r>
      <t xml:space="preserve">Filling in series </t>
    </r>
    <r>
      <rPr>
        <b/>
        <sz val="10"/>
        <rFont val="Arial"/>
        <family val="2"/>
      </rPr>
      <t>(?)</t>
    </r>
  </si>
  <si>
    <r>
      <t xml:space="preserve">Number series </t>
    </r>
    <r>
      <rPr>
        <b/>
        <sz val="10"/>
        <rFont val="Arial"/>
        <family val="2"/>
      </rPr>
      <t>(?)</t>
    </r>
  </si>
  <si>
    <t>GenieRules.Units.setDatabaseUnits("m","N","delC");</t>
  </si>
  <si>
    <t>GenieRules.Units.setInputUnit(Length,"m");</t>
  </si>
  <si>
    <t>Genie Executable</t>
  </si>
  <si>
    <t>DXD</t>
  </si>
  <si>
    <t>DYD</t>
  </si>
  <si>
    <t>DXU</t>
  </si>
  <si>
    <t>DYU</t>
  </si>
  <si>
    <t>D</t>
  </si>
  <si>
    <t>E</t>
  </si>
  <si>
    <t>F</t>
  </si>
  <si>
    <t>H</t>
  </si>
  <si>
    <t>I</t>
  </si>
  <si>
    <t>J</t>
  </si>
  <si>
    <t>L</t>
  </si>
  <si>
    <t>M</t>
  </si>
  <si>
    <t>Nam1[4] = "DXD";</t>
  </si>
  <si>
    <t>Nam1[5] = "DYD";</t>
  </si>
  <si>
    <t>Nam1[6] = "DXU";</t>
  </si>
  <si>
    <t>Nam1[7] = "DYU";</t>
  </si>
  <si>
    <t>Nam2[0] = "1";</t>
  </si>
  <si>
    <t>Nam2[1] = "2";</t>
  </si>
  <si>
    <t>Nam2[2] = "3";</t>
  </si>
  <si>
    <t>Nam2[3] = "4";</t>
  </si>
  <si>
    <t>Nam2[4] = "5";</t>
  </si>
  <si>
    <t>Nam3[0] = "A";</t>
  </si>
  <si>
    <t>Nam3[1] = "B";</t>
  </si>
  <si>
    <t>Nam3[2] = "C";</t>
  </si>
  <si>
    <t>Nam3[3] = "D";</t>
  </si>
  <si>
    <t>PO</t>
  </si>
  <si>
    <t>O</t>
  </si>
  <si>
    <t>P</t>
  </si>
  <si>
    <t>Q</t>
  </si>
  <si>
    <t>R</t>
  </si>
  <si>
    <t>S</t>
  </si>
  <si>
    <t>T</t>
  </si>
  <si>
    <t>U</t>
  </si>
  <si>
    <t>V</t>
  </si>
  <si>
    <t>W</t>
  </si>
  <si>
    <t>Y</t>
  </si>
  <si>
    <t>Z</t>
  </si>
  <si>
    <t>Nam1[0] = "PO";</t>
  </si>
  <si>
    <t>YZ-Plane</t>
  </si>
  <si>
    <t>Nam2[5] = "6";</t>
  </si>
  <si>
    <t>Nam3[4] = "E";</t>
  </si>
  <si>
    <t>Row</t>
  </si>
  <si>
    <t>1.0-01</t>
  </si>
  <si>
    <t>Version</t>
  </si>
  <si>
    <t>P1800x50</t>
  </si>
  <si>
    <t>P1800x50 = PipeSection(1.800m,0.050m);</t>
  </si>
  <si>
    <t>P508x19</t>
  </si>
  <si>
    <t>P600x20</t>
  </si>
  <si>
    <t>P700x30</t>
  </si>
  <si>
    <t>P900x40</t>
  </si>
  <si>
    <t>P1400x40</t>
  </si>
  <si>
    <t>HE240B</t>
  </si>
  <si>
    <t>HE240B = ISection(240mm,240mm,10mm,17mm);</t>
  </si>
  <si>
    <t>HE400B = ISection(400mm,300mm,13.5mm,24mm);</t>
  </si>
  <si>
    <t>HE600B = ISection(600mm,300mm,15.5mm,30mm);</t>
  </si>
  <si>
    <t>HE800B = ISection(800mm,300mm,17.5mm,33mm);</t>
  </si>
  <si>
    <t>HE1000B = ISection(1000mm,300mm,19mm,36mm);</t>
  </si>
  <si>
    <t>HE400B</t>
  </si>
  <si>
    <t>HE600B</t>
  </si>
  <si>
    <t>HE800B</t>
  </si>
  <si>
    <t>HE1000B</t>
  </si>
  <si>
    <t>IPE300</t>
  </si>
  <si>
    <t>IPE400</t>
  </si>
  <si>
    <t>IPE300 = ISection(300mm,150mm,7.1mm,10.7mm);</t>
  </si>
  <si>
    <t>IPE600</t>
  </si>
  <si>
    <t>IPE400 = ISection(400mm,180mm,8.6mm,13.5mm);</t>
  </si>
  <si>
    <t>IPE600 = ISection(600mm,220mm,12.0mm,19.0mm);</t>
  </si>
  <si>
    <t>IPE500</t>
  </si>
  <si>
    <t>IPE500 = ISection(500mm,200mm,10.2mm,16.0mm);</t>
  </si>
  <si>
    <t>St37</t>
  </si>
  <si>
    <t>St52</t>
  </si>
  <si>
    <t>St37 = Material(225E6N/m2, 7.85tonne/m3, 2.1E11N/m2, 0.3, 1.2E-5delC^-1, 0.03N*s/m);</t>
  </si>
  <si>
    <t>St44 = Material(265E6N/m2, 7.85tonne/m3, 2.1E11N/m2, 0.3, 1.2E-5delC^-1, 0.03N*s/m);</t>
  </si>
  <si>
    <t>St52 = Material(345E6N/m2, 7.85tonne/m3, 2.1E11N/m2, 0.3, 1.2E-5delC^-1, 0.03N*s/m);</t>
  </si>
  <si>
    <t>P508x19 = PipeSection(0.508m,0.019m);</t>
  </si>
  <si>
    <t>P600x20 = PipeSection(0.600m,0.020m);</t>
  </si>
  <si>
    <t>P700x30 = PipeSection(0.700m,0.030m);</t>
  </si>
  <si>
    <t>P900x40 = PipeSection(0.900m,0.040m);</t>
  </si>
  <si>
    <t>P1400x40 = PipeSection(1.400m,0.040m);</t>
  </si>
  <si>
    <t>ThisMaterial = St37;</t>
  </si>
  <si>
    <t>Beam</t>
  </si>
  <si>
    <t/>
  </si>
  <si>
    <t>// No beam</t>
  </si>
  <si>
    <t>Deck Wizard for Genie</t>
  </si>
  <si>
    <t>1</t>
  </si>
  <si>
    <t>2</t>
  </si>
  <si>
    <t>3</t>
  </si>
  <si>
    <t>4</t>
  </si>
  <si>
    <t>5</t>
  </si>
  <si>
    <t>6</t>
  </si>
  <si>
    <t>A</t>
  </si>
  <si>
    <t>B</t>
  </si>
  <si>
    <t>C</t>
  </si>
  <si>
    <t>G</t>
  </si>
  <si>
    <t>var X_Beam = new Array();</t>
  </si>
  <si>
    <t>var Y_Beam = new Array();</t>
  </si>
  <si>
    <t>//  Beam cross sections in X direction</t>
  </si>
  <si>
    <t>//  Beam cross sections in Y direction</t>
  </si>
  <si>
    <t>xBrace[3] = "nobrace";</t>
  </si>
  <si>
    <t>yBrace[0] = "nobrace";</t>
  </si>
  <si>
    <t>yBrace[4] = "nobrace";</t>
  </si>
  <si>
    <t>Nam2[6] = "7";</t>
  </si>
  <si>
    <t>Nam3[5] = "F";</t>
  </si>
  <si>
    <t>Nam3[6] = "G";</t>
  </si>
  <si>
    <t>Nam3[7] = "H";</t>
  </si>
  <si>
    <t>Nam3[8] = "I";</t>
  </si>
  <si>
    <t xml:space="preserve">    // Stepping through the legs in X-dir</t>
  </si>
  <si>
    <t xml:space="preserve">        // Stepping through the legs in Y-dir</t>
  </si>
  <si>
    <t>//   Adding horizontal beams in X-dir</t>
  </si>
  <si>
    <t xml:space="preserve">    // Stepping throug the rows in X-dir</t>
  </si>
  <si>
    <t xml:space="preserve">        // Stepping through the rows in Y-dir</t>
  </si>
  <si>
    <t xml:space="preserve">                 ThisCrossSect = X_Beam[j];</t>
  </si>
  <si>
    <t xml:space="preserve">                       }</t>
  </si>
  <si>
    <t xml:space="preserve">                  }     </t>
  </si>
  <si>
    <t xml:space="preserve">                  else;</t>
  </si>
  <si>
    <t xml:space="preserve">              }</t>
  </si>
  <si>
    <t>//   Adding horizontal beams in Y-dir</t>
  </si>
  <si>
    <t xml:space="preserve">                 {  // Stepping up each column    </t>
  </si>
  <si>
    <t xml:space="preserve">                    for (k = 1; k &lt; (ZL); k++)</t>
  </si>
  <si>
    <t xml:space="preserve">                     }</t>
  </si>
  <si>
    <t xml:space="preserve">                 }</t>
  </si>
  <si>
    <t xml:space="preserve">                 else;</t>
  </si>
  <si>
    <t xml:space="preserve">                 {    // Stepping up each column    </t>
  </si>
  <si>
    <t xml:space="preserve">                      for (k = 1; k &lt; (ZL); k++)  // No beams at bottom of column</t>
  </si>
  <si>
    <t xml:space="preserve">                      {</t>
  </si>
  <si>
    <t xml:space="preserve">                        Bms1[i] = Beam(GetNamedObject(Nam1[0] +Nam2[i] +Nam3[j] +Nam4[k]), GetNamedObject(Nam1[0] +Nam2[i+1] +Nam3[j] +Nam4[k]));</t>
  </si>
  <si>
    <t xml:space="preserve">                        Bms1[i].name = Nam1[2] +Nam2[i] +Nam3[j] +Nam4[k] ;</t>
  </si>
  <si>
    <t xml:space="preserve">                        Bms1[i].material = ThisMaterial;</t>
  </si>
  <si>
    <t xml:space="preserve">                        //     Print("Brace from " +Nam1[0] +Nam2[i] +Nam3[j] +Nam4[k] +" to " +Nam1[0] +Nam2[i+1] +Nam3[j] +Nam4[k]);</t>
  </si>
  <si>
    <t xml:space="preserve">                        Bms1[i] = Beam(GetNamedObject(Nam1[0] +Nam2[i] +Nam3[j] +Nam4[k]), GetNamedObject(Nam1[0] +Nam2[i] +Nam3[j+1] +Nam4[k]));</t>
  </si>
  <si>
    <t xml:space="preserve">                        Bms1[i].name = Nam1[3] +Nam2[i] +Nam3[j] +Nam4[k] ;</t>
  </si>
  <si>
    <t>// General Deck Wizard input</t>
  </si>
  <si>
    <t>//  End general JS file</t>
  </si>
  <si>
    <t>// defines the function: MakeLeg(X1, X2, Y1, Y2, Z1, "Leg") that creates a regular linear section of a frame structure</t>
  </si>
  <si>
    <t xml:space="preserve">                 XCrossSect = X_Beam[j];</t>
  </si>
  <si>
    <t xml:space="preserve">                 YCrossSect = Y_Beam[i];</t>
  </si>
  <si>
    <t xml:space="preserve">                 {</t>
  </si>
  <si>
    <t xml:space="preserve">                   // Stepping up each leg    </t>
  </si>
  <si>
    <t xml:space="preserve">        var ThisX, ThisY, XCrossSect, YCrossSect;</t>
  </si>
  <si>
    <t xml:space="preserve">                 if ( XCrossSect != null)</t>
  </si>
  <si>
    <t xml:space="preserve">                        Bms1[i].section = XCrossSect;</t>
  </si>
  <si>
    <t xml:space="preserve">                 if ( YCrossSect != null) </t>
  </si>
  <si>
    <t xml:space="preserve">                        Bms1[i].section = YCrossSect;</t>
  </si>
  <si>
    <t xml:space="preserve">    // Stepping through the rows in X-dir</t>
  </si>
  <si>
    <t xml:space="preserve">        XCrossSect = X_Beam[j];</t>
  </si>
  <si>
    <t xml:space="preserve">        if ( XCrossSect  != null)</t>
  </si>
  <si>
    <t xml:space="preserve">        {    for (k = 1;k&lt;(ZL-1); k++)</t>
  </si>
  <si>
    <t xml:space="preserve">           {</t>
  </si>
  <si>
    <t xml:space="preserve">            }</t>
  </si>
  <si>
    <t xml:space="preserve">        YCrossSect = Y_Beam[i];</t>
  </si>
  <si>
    <t xml:space="preserve">        if ( YCrossSect  != null)</t>
  </si>
  <si>
    <t xml:space="preserve">       {    for (k = 1;k&lt;(ZL-1); k++)</t>
  </si>
  <si>
    <t xml:space="preserve">                //     Putting beams on this column</t>
  </si>
  <si>
    <t>Column</t>
  </si>
  <si>
    <t>Valid Column</t>
  </si>
  <si>
    <t>No_Col</t>
  </si>
  <si>
    <t xml:space="preserve">                 XColumn = X_Cols[i];</t>
  </si>
  <si>
    <t>var X_Cols = new Array();</t>
  </si>
  <si>
    <t>var Y_Cols = new Array();</t>
  </si>
  <si>
    <t>No_Col = null;</t>
  </si>
  <si>
    <t>//  Selection of columns for X-rows</t>
  </si>
  <si>
    <t>X_Cols[0] = Column;</t>
  </si>
  <si>
    <t>X_Cols[2] = Column;</t>
  </si>
  <si>
    <t>//  Selection of columns for Y-rows</t>
  </si>
  <si>
    <t>Y_Cols[0] = Column;</t>
  </si>
  <si>
    <t xml:space="preserve">                 YColumn = Y_Cols[j];</t>
  </si>
  <si>
    <t xml:space="preserve">               }</t>
  </si>
  <si>
    <t>Column = "Column";</t>
  </si>
  <si>
    <t xml:space="preserve">                 if ( XColumn != null &amp;&amp; YColumn != null )</t>
  </si>
  <si>
    <t xml:space="preserve">                 if ( XCrossSect != null  || YCrossSect != null )</t>
  </si>
  <si>
    <t xml:space="preserve">                 //   If both rows have No Beam there is not likely to be a column at the intersection</t>
  </si>
  <si>
    <t xml:space="preserve">                 //  If eigther of the rows has a No Column flag, make no column</t>
  </si>
  <si>
    <t>yBrace[3] = "nobrace";</t>
  </si>
  <si>
    <t xml:space="preserve">                    XCrossSect = X_Beam[j];</t>
  </si>
  <si>
    <t xml:space="preserve">                    if ( XCrossSect  != null)</t>
  </si>
  <si>
    <t xml:space="preserve">                    {   for (k = 1;k&lt;(ZL-1); k++)</t>
  </si>
  <si>
    <t xml:space="preserve">                         {</t>
  </si>
  <si>
    <t xml:space="preserve">                            var Bms1 = new Array();</t>
  </si>
  <si>
    <t xml:space="preserve">                            Bms1[i] = Beam(GetNamedObject(Nam1[0] +Nam2[i] +Nam3[j] +Nam4[k]), GetNamedObject(Nam1[0] +Nam2[i+1] +Nam3[j] +Nam4[k+1]));</t>
  </si>
  <si>
    <t xml:space="preserve">                            Bms1[i].name = Nam1[6] +Nam2[i] +Nam3[j] +Nam4[k] ;</t>
  </si>
  <si>
    <t xml:space="preserve">                            Bms1[i].section = Dsection;</t>
  </si>
  <si>
    <t xml:space="preserve">                            Bms1[i].material = ThisMaterial;</t>
  </si>
  <si>
    <t xml:space="preserve">                         }</t>
  </si>
  <si>
    <t xml:space="preserve">                   }</t>
  </si>
  <si>
    <t xml:space="preserve">                 //  If the X - row has a No Column flag, make no Y bracings</t>
  </si>
  <si>
    <t xml:space="preserve">                 if ( XColumn != null )</t>
  </si>
  <si>
    <t xml:space="preserve">                 //  If the Y row has a No Column flag, make no X bracings</t>
  </si>
  <si>
    <t xml:space="preserve">                 if ( YColumn != null )</t>
  </si>
  <si>
    <t xml:space="preserve">                 //  If the Y rows has a No Column flag, make no X bracings</t>
  </si>
  <si>
    <t>X_Beam[0] = HE800B;</t>
  </si>
  <si>
    <t>X11</t>
  </si>
  <si>
    <t>X12</t>
  </si>
  <si>
    <t>X13</t>
  </si>
  <si>
    <t>X14</t>
  </si>
  <si>
    <t>X15</t>
  </si>
  <si>
    <t>Nam3[9] = "J";</t>
  </si>
  <si>
    <t>Columns</t>
  </si>
  <si>
    <t>Legsection = HE800B;</t>
  </si>
  <si>
    <t>CO</t>
  </si>
  <si>
    <t>7</t>
  </si>
  <si>
    <t>8</t>
  </si>
  <si>
    <t>9</t>
  </si>
  <si>
    <t>Y_Cols[2] = Column;</t>
  </si>
  <si>
    <t>Nam1[1] = "CO";</t>
  </si>
  <si>
    <t>Nam4[0] = "1";</t>
  </si>
  <si>
    <t>Nam4[1] = "2";</t>
  </si>
  <si>
    <t>Nam4[2] = "3";</t>
  </si>
  <si>
    <t>Nam4[3] = "4";</t>
  </si>
  <si>
    <t>Nam4[4] = "5";</t>
  </si>
  <si>
    <t>Nam4[5] = "6";</t>
  </si>
  <si>
    <t>Y_Cols[1] = Column;</t>
  </si>
  <si>
    <t>No_Beam</t>
  </si>
  <si>
    <t>X_Cols[4] = Column;</t>
  </si>
  <si>
    <t>Y_Beam[0] = HE800B;</t>
  </si>
  <si>
    <t>Y_Beam[1] = No_Beam;</t>
  </si>
  <si>
    <t>Y_Beam[4] = HE800B;</t>
  </si>
  <si>
    <t>No_Beam = null;</t>
  </si>
  <si>
    <t>Y1[0] = 5;</t>
  </si>
  <si>
    <t>Y1[1] = 13;</t>
  </si>
  <si>
    <t>Y1[2] = 17;</t>
  </si>
  <si>
    <t>Y1[3] = 19;</t>
  </si>
  <si>
    <t>Y1[5] = 25;</t>
  </si>
  <si>
    <t>Y2[0] = 5;</t>
  </si>
  <si>
    <t>Y2[1] = 13;</t>
  </si>
  <si>
    <t>Y2[2] = 17;</t>
  </si>
  <si>
    <t>Y2[3] = 19;</t>
  </si>
  <si>
    <t>Y2[5] = 25;</t>
  </si>
  <si>
    <t>X_Cols[1] = Column;</t>
  </si>
  <si>
    <t>X_Cols[3] = No_Col;</t>
  </si>
  <si>
    <t>Y_Cols[3] = No_Col;</t>
  </si>
  <si>
    <t>X_Beam[3] = No_Beam;</t>
  </si>
  <si>
    <t>X_Beam[6] = No_Beam;</t>
  </si>
  <si>
    <t>Y_Beam[3] = No_Beam;</t>
  </si>
  <si>
    <t>xBrace[0] = "nobrace";</t>
  </si>
  <si>
    <t>xBrace[1] = "bracedown";</t>
  </si>
  <si>
    <t>xBrace[2] = "nobrace";</t>
  </si>
  <si>
    <t>yBrace[2] = "nobrace";</t>
  </si>
  <si>
    <t>yBrace[6] = "nobrace";</t>
  </si>
  <si>
    <t>Date</t>
  </si>
  <si>
    <t>Dsection = HE400B;</t>
  </si>
  <si>
    <t>X1[0] = -6;</t>
  </si>
  <si>
    <t>X1[1] = 6;</t>
  </si>
  <si>
    <t>X2[0] = -6;</t>
  </si>
  <si>
    <t>X2[1] = 6;</t>
  </si>
  <si>
    <t>Y1[4] = 21;</t>
  </si>
  <si>
    <t>Y1[6] = 29;</t>
  </si>
  <si>
    <t>Y1[7] = 37;</t>
  </si>
  <si>
    <t>Y2[4] = 21;</t>
  </si>
  <si>
    <t>Y2[6] = 29;</t>
  </si>
  <si>
    <t>Y2[7] = 37;</t>
  </si>
  <si>
    <t>Y_Cols[4] = No_Col;</t>
  </si>
  <si>
    <t>Y_Cols[5] = Column;</t>
  </si>
  <si>
    <t>Y_Cols[6] = Column;</t>
  </si>
  <si>
    <t>Y_Cols[7] = Column;</t>
  </si>
  <si>
    <t>X_Beam[1] = No_Beam;</t>
  </si>
  <si>
    <t>X_Beam[2] = HE600B;</t>
  </si>
  <si>
    <t>X_Beam[4] = No_Beam;</t>
  </si>
  <si>
    <t>X_Beam[5] = HE600B;</t>
  </si>
  <si>
    <t>X_Beam[7] = HE800B;</t>
  </si>
  <si>
    <t>Y_Beam[2] = HE400B;</t>
  </si>
  <si>
    <t>yBrace[1] = "xbrace";</t>
  </si>
  <si>
    <t>yBrace[5] = "braceup";</t>
  </si>
  <si>
    <t>Horizontal beam X-dir</t>
  </si>
  <si>
    <t>Horizontal beam Y-dir</t>
  </si>
  <si>
    <t>BX</t>
  </si>
  <si>
    <t>BY</t>
  </si>
  <si>
    <t>Plate_10</t>
  </si>
  <si>
    <t>Plate_10=Thickness(10mm);</t>
  </si>
  <si>
    <t>Plate_15</t>
  </si>
  <si>
    <t>Plate_15=Thickness(15mm);</t>
  </si>
  <si>
    <t>Plate_20</t>
  </si>
  <si>
    <t>Plate_20=Thickness(20mm);</t>
  </si>
  <si>
    <t>Nam1[2] = "BX";</t>
  </si>
  <si>
    <t>Nam1[3] = "BY";</t>
  </si>
  <si>
    <t>1.0-02</t>
  </si>
  <si>
    <t>02.06.03</t>
  </si>
  <si>
    <t>X1[2] = 10;</t>
  </si>
  <si>
    <t>X1[3] = 12;</t>
  </si>
  <si>
    <t>X1[4] = 18;</t>
  </si>
  <si>
    <t>X2[2] = 10;</t>
  </si>
  <si>
    <t>X2[3] = 12;</t>
  </si>
  <si>
    <t>X2[4] = 18;</t>
  </si>
  <si>
    <t>Z1[0] = 120;</t>
  </si>
  <si>
    <t>Z1[1] = 124;</t>
  </si>
  <si>
    <t>Z1[2] = 136;</t>
  </si>
  <si>
    <t>Z1[3] = 148;</t>
  </si>
  <si>
    <t>X_Cols[5] = Column;</t>
  </si>
  <si>
    <t>X_Cols[6] = Column;</t>
  </si>
  <si>
    <t>X_Cols[7] = No_Col;</t>
  </si>
  <si>
    <t>X_Cols[8] = Column;</t>
  </si>
  <si>
    <t>X_Cols[9] = Column;</t>
  </si>
  <si>
    <t>Y_Beam[5] = HE800B;</t>
  </si>
  <si>
    <t>Y_Beam[6] = No_Beam;</t>
  </si>
  <si>
    <t>Y_Beam[7] = IPE600;</t>
  </si>
  <si>
    <t>Y_Beam[8] = HE800B;</t>
  </si>
  <si>
    <t>Y_Beam[9] = HE800B;</t>
  </si>
  <si>
    <t>xBrace[4] = "xbrace";</t>
  </si>
  <si>
    <t>xBrace[5] = "nobrace";</t>
  </si>
  <si>
    <t>xBrace[6] = "bracedown";</t>
  </si>
  <si>
    <t>xBrace[7] = "braceup";</t>
  </si>
  <si>
    <t>xBrace[8] = "nobrace";</t>
  </si>
  <si>
    <t>Nam2[7] = "8";</t>
  </si>
  <si>
    <t>Nam2[8] = "9";</t>
  </si>
  <si>
    <t>Nam2[9] = "10";</t>
  </si>
  <si>
    <t>Nam2[10] = "11";</t>
  </si>
  <si>
    <t>Nam2[11] = "12";</t>
  </si>
  <si>
    <t>MyDeck</t>
  </si>
  <si>
    <t>// Genie input file for Deck MyDeck</t>
  </si>
  <si>
    <t>C:\Program Files\DNVS\GeniE V6.4-08\Program\GenieR.exe</t>
  </si>
  <si>
    <t>// Created 09/04/2013 at 12:41:52</t>
  </si>
  <si>
    <t>X1[5] = 95;</t>
  </si>
  <si>
    <t>X1[6] = 103;</t>
  </si>
  <si>
    <t>X1[7] = 105;</t>
  </si>
  <si>
    <t>X1[8] = 107;</t>
  </si>
  <si>
    <t>X1[9] = 115;</t>
  </si>
  <si>
    <t>X2[5] = 95;</t>
  </si>
  <si>
    <t>X2[6] = 103;</t>
  </si>
  <si>
    <t>X2[7] = 105;</t>
  </si>
  <si>
    <t>X2[8] = 107;</t>
  </si>
  <si>
    <t>X2[9] = 115;</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</si>
</sst>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0" formatCode="_(&quot;kr&quot;\ * #,##0.00_);_(&quot;kr&quot;\ * \(#,##0.00\);_(&quot;kr&quot;\ * &quot;-&quot;??_);_(@_)"/>
  </numFmts>
  <fonts count="14" x14ac:knownFonts="1">
    <font>
      <sz val="10"/>
      <name val="Arial"/>
    </font>
    <font>
      <sz val="10"/>
      <name val="Arial"/>
    </font>
    <font>
      <sz val="8"/>
      <name val="Arial"/>
    </font>
    <font>
      <b/>
      <sz val="10"/>
      <name val="Arial"/>
      <family val="2"/>
    </font>
    <font>
      <b/>
      <sz val="14"/>
      <name val="Arial"/>
      <family val="2"/>
    </font>
    <font>
      <sz val="14"/>
      <name val="Arial"/>
      <family val="2"/>
    </font>
    <font>
      <b/>
      <sz val="8"/>
      <name val="Arial"/>
      <family val="2"/>
    </font>
    <font>
      <b/>
      <sz val="12"/>
      <name val="Arial"/>
      <family val="2"/>
    </font>
    <font>
      <sz val="10"/>
      <name val="Arial"/>
      <family val="2"/>
    </font>
    <font>
      <sz val="12"/>
      <name val="Arial"/>
    </font>
    <font>
      <u/>
      <sz val="12"/>
      <name val="Arial"/>
      <family val="2"/>
    </font>
    <font>
      <b/>
      <u/>
      <sz val="12"/>
      <name val="Arial"/>
      <family val="2"/>
    </font>
    <font>
      <sz val="12"/>
      <name val="Arial"/>
      <family val="2"/>
    </font>
    <font>
      <b/>
      <sz val="10"/>
      <name val="Arial"/>
    </font>
  </fonts>
  <fills count="5">
    <fill>
      <patternFill patternType="none"/>
    </fill>
    <fill>
      <patternFill patternType="gray125"/>
    </fill>
    <fill>
      <patternFill patternType="solid">
        <fgColor indexed="22"/>
        <bgColor indexed="64"/>
      </patternFill>
    </fill>
    <fill>
      <patternFill patternType="solid">
        <fgColor indexed="55"/>
        <bgColor indexed="64"/>
      </patternFill>
    </fill>
    <fill>
      <patternFill patternType="solid">
        <fgColor indexed="9"/>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style="thin">
        <color indexed="64"/>
      </left>
      <right style="thin">
        <color indexed="64"/>
      </right>
      <top style="thin">
        <color indexed="64"/>
      </top>
      <bottom style="medium">
        <color indexed="64"/>
      </bottom>
      <diagonal/>
    </border>
    <border>
      <left/>
      <right style="thin">
        <color indexed="64"/>
      </right>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s>
  <cellStyleXfs count="2">
    <xf numFmtId="0" fontId="0" fillId="0" borderId="0"/>
    <xf numFmtId="170" fontId="1" fillId="0" borderId="0" applyFont="0" applyFill="0" applyBorder="0" applyAlignment="0" applyProtection="0"/>
  </cellStyleXfs>
  <cellXfs count="147">
    <xf numFmtId="0" fontId="0" fillId="0" borderId="0" xfId="0"/>
    <xf numFmtId="0" fontId="3" fillId="2" borderId="1" xfId="0" applyNumberFormat="1" applyFont="1" applyFill="1" applyBorder="1" applyAlignment="1">
      <alignment horizontal="center"/>
    </xf>
    <xf numFmtId="2" fontId="0" fillId="2" borderId="1" xfId="1" applyNumberFormat="1" applyFont="1" applyFill="1" applyBorder="1" applyAlignment="1">
      <alignment horizontal="center"/>
    </xf>
    <xf numFmtId="0" fontId="0" fillId="3" borderId="0" xfId="0" applyNumberFormat="1" applyFill="1"/>
    <xf numFmtId="0" fontId="0" fillId="3" borderId="0" xfId="0" applyNumberFormat="1" applyFill="1" applyAlignment="1">
      <alignment horizontal="center"/>
    </xf>
    <xf numFmtId="0" fontId="0" fillId="3" borderId="0" xfId="1" applyNumberFormat="1" applyFont="1" applyFill="1"/>
    <xf numFmtId="0" fontId="0" fillId="3" borderId="0" xfId="1" applyNumberFormat="1" applyFont="1" applyFill="1" applyAlignment="1">
      <alignment horizontal="center"/>
    </xf>
    <xf numFmtId="0" fontId="0" fillId="3" borderId="0" xfId="0" applyNumberFormat="1" applyFill="1" applyBorder="1" applyAlignment="1">
      <alignment horizontal="center"/>
    </xf>
    <xf numFmtId="0" fontId="0" fillId="3" borderId="2" xfId="0" applyNumberFormat="1" applyFill="1" applyBorder="1" applyAlignment="1">
      <alignment horizontal="center"/>
    </xf>
    <xf numFmtId="0" fontId="0" fillId="3" borderId="2" xfId="0" quotePrefix="1" applyNumberFormat="1" applyFill="1" applyBorder="1" applyAlignment="1">
      <alignment horizontal="center"/>
    </xf>
    <xf numFmtId="0" fontId="0" fillId="3" borderId="3" xfId="0" quotePrefix="1" applyNumberFormat="1" applyFill="1" applyBorder="1" applyAlignment="1">
      <alignment horizontal="center"/>
    </xf>
    <xf numFmtId="0" fontId="0" fillId="2" borderId="0" xfId="0" applyNumberFormat="1" applyFill="1"/>
    <xf numFmtId="0" fontId="0" fillId="2" borderId="0" xfId="1" applyNumberFormat="1" applyFont="1" applyFill="1"/>
    <xf numFmtId="0" fontId="0" fillId="2" borderId="4" xfId="0" applyNumberFormat="1" applyFill="1" applyBorder="1" applyAlignment="1">
      <alignment horizontal="center"/>
    </xf>
    <xf numFmtId="0" fontId="0" fillId="2" borderId="5" xfId="0" applyNumberFormat="1" applyFill="1" applyBorder="1"/>
    <xf numFmtId="0" fontId="3" fillId="3" borderId="0" xfId="0" applyNumberFormat="1" applyFont="1" applyFill="1" applyAlignment="1">
      <alignment horizontal="left"/>
    </xf>
    <xf numFmtId="0" fontId="0" fillId="3" borderId="6" xfId="0" applyNumberFormat="1" applyFill="1" applyBorder="1" applyAlignment="1">
      <alignment horizontal="center"/>
    </xf>
    <xf numFmtId="0" fontId="3" fillId="3" borderId="0" xfId="0" applyNumberFormat="1" applyFont="1" applyFill="1" applyBorder="1" applyAlignment="1">
      <alignment horizontal="left"/>
    </xf>
    <xf numFmtId="0" fontId="5" fillId="2" borderId="7" xfId="1" applyNumberFormat="1" applyFont="1" applyFill="1" applyBorder="1" applyAlignment="1">
      <alignment horizontal="left"/>
    </xf>
    <xf numFmtId="0" fontId="0" fillId="2" borderId="1" xfId="0" applyNumberFormat="1" applyFill="1" applyBorder="1" applyAlignment="1">
      <alignment horizontal="center" vertical="center"/>
    </xf>
    <xf numFmtId="0" fontId="3" fillId="2" borderId="2" xfId="0" applyNumberFormat="1" applyFont="1" applyFill="1" applyBorder="1" applyAlignment="1">
      <alignment horizontal="center"/>
    </xf>
    <xf numFmtId="2" fontId="0" fillId="2" borderId="5" xfId="1" applyNumberFormat="1" applyFont="1" applyFill="1" applyBorder="1" applyAlignment="1">
      <alignment horizontal="center"/>
    </xf>
    <xf numFmtId="2" fontId="0" fillId="2" borderId="8" xfId="1" applyNumberFormat="1" applyFont="1" applyFill="1" applyBorder="1" applyAlignment="1">
      <alignment horizontal="center"/>
    </xf>
    <xf numFmtId="0" fontId="3" fillId="2" borderId="8" xfId="0" applyNumberFormat="1" applyFont="1" applyFill="1" applyBorder="1" applyAlignment="1">
      <alignment horizontal="center"/>
    </xf>
    <xf numFmtId="2" fontId="0" fillId="2" borderId="9" xfId="1" applyNumberFormat="1" applyFont="1" applyFill="1" applyBorder="1" applyAlignment="1">
      <alignment horizontal="center"/>
    </xf>
    <xf numFmtId="0" fontId="3" fillId="3" borderId="0" xfId="0" applyNumberFormat="1" applyFont="1" applyFill="1" applyAlignment="1">
      <alignment horizontal="center"/>
    </xf>
    <xf numFmtId="0" fontId="0" fillId="4" borderId="0" xfId="0" applyNumberFormat="1" applyFill="1"/>
    <xf numFmtId="0" fontId="0" fillId="4" borderId="0" xfId="1" applyNumberFormat="1" applyFont="1" applyFill="1"/>
    <xf numFmtId="2" fontId="0" fillId="2" borderId="6" xfId="1" applyNumberFormat="1" applyFont="1" applyFill="1" applyBorder="1" applyAlignment="1">
      <alignment horizontal="center"/>
    </xf>
    <xf numFmtId="0" fontId="0" fillId="2" borderId="1" xfId="0" applyNumberFormat="1" applyFill="1" applyBorder="1"/>
    <xf numFmtId="0" fontId="3" fillId="3" borderId="0" xfId="0" applyNumberFormat="1" applyFont="1" applyFill="1" applyBorder="1" applyAlignment="1">
      <alignment horizontal="center"/>
    </xf>
    <xf numFmtId="0" fontId="0" fillId="3" borderId="1" xfId="0" applyNumberFormat="1" applyFill="1" applyBorder="1" applyAlignment="1">
      <alignment horizontal="center"/>
    </xf>
    <xf numFmtId="0" fontId="8" fillId="2" borderId="8" xfId="0" applyNumberFormat="1" applyFont="1" applyFill="1" applyBorder="1" applyAlignment="1">
      <alignment horizontal="center"/>
    </xf>
    <xf numFmtId="0" fontId="3" fillId="2" borderId="3" xfId="0" applyNumberFormat="1" applyFont="1" applyFill="1" applyBorder="1" applyAlignment="1">
      <alignment horizontal="center"/>
    </xf>
    <xf numFmtId="0" fontId="7" fillId="3" borderId="0" xfId="0" applyNumberFormat="1" applyFont="1" applyFill="1" applyAlignment="1">
      <alignment horizontal="center"/>
    </xf>
    <xf numFmtId="0" fontId="0" fillId="3" borderId="0" xfId="0" applyFill="1"/>
    <xf numFmtId="0" fontId="0" fillId="3" borderId="0" xfId="0" applyFill="1" applyBorder="1"/>
    <xf numFmtId="0" fontId="0" fillId="3" borderId="0" xfId="0" applyFill="1" applyBorder="1" applyProtection="1">
      <protection locked="0"/>
    </xf>
    <xf numFmtId="0" fontId="0" fillId="3" borderId="0" xfId="0" quotePrefix="1" applyFill="1" applyBorder="1" applyAlignment="1" applyProtection="1">
      <alignment horizontal="center"/>
      <protection locked="0"/>
    </xf>
    <xf numFmtId="0" fontId="0" fillId="3" borderId="0" xfId="0" applyFill="1" applyBorder="1" applyAlignment="1" applyProtection="1">
      <alignment horizontal="center"/>
      <protection locked="0"/>
    </xf>
    <xf numFmtId="0" fontId="0" fillId="3" borderId="0" xfId="0" applyFill="1" applyProtection="1">
      <protection locked="0"/>
    </xf>
    <xf numFmtId="0" fontId="0" fillId="4" borderId="2" xfId="0" applyFill="1" applyBorder="1" applyProtection="1">
      <protection locked="0"/>
    </xf>
    <xf numFmtId="0" fontId="0" fillId="4" borderId="3" xfId="0" applyFill="1" applyBorder="1" applyProtection="1">
      <protection locked="0"/>
    </xf>
    <xf numFmtId="0" fontId="3" fillId="2" borderId="8" xfId="0" applyFont="1" applyFill="1" applyBorder="1"/>
    <xf numFmtId="0" fontId="3" fillId="2" borderId="1" xfId="0" applyFont="1" applyFill="1" applyBorder="1"/>
    <xf numFmtId="0" fontId="0" fillId="2" borderId="0" xfId="0" applyFill="1"/>
    <xf numFmtId="0" fontId="0" fillId="2" borderId="1" xfId="0" applyFill="1" applyBorder="1" applyAlignment="1">
      <alignment horizontal="right"/>
    </xf>
    <xf numFmtId="0" fontId="0" fillId="2" borderId="0" xfId="0" applyFill="1" applyBorder="1"/>
    <xf numFmtId="0" fontId="0" fillId="4" borderId="2" xfId="0" applyFill="1" applyBorder="1" applyAlignment="1" applyProtection="1">
      <alignment horizontal="center"/>
      <protection locked="0"/>
    </xf>
    <xf numFmtId="0" fontId="0" fillId="4" borderId="2" xfId="0" quotePrefix="1" applyFill="1" applyBorder="1" applyAlignment="1" applyProtection="1">
      <alignment horizontal="center"/>
      <protection locked="0"/>
    </xf>
    <xf numFmtId="0" fontId="0" fillId="4" borderId="6" xfId="0" applyFill="1" applyBorder="1" applyProtection="1">
      <protection locked="0"/>
    </xf>
    <xf numFmtId="0" fontId="0" fillId="2" borderId="6" xfId="0" applyFill="1" applyBorder="1" applyAlignment="1">
      <alignment horizontal="right"/>
    </xf>
    <xf numFmtId="0" fontId="0" fillId="2" borderId="2" xfId="0" applyFill="1" applyBorder="1" applyAlignment="1">
      <alignment horizontal="right"/>
    </xf>
    <xf numFmtId="0" fontId="0" fillId="2" borderId="2" xfId="0" applyFill="1" applyBorder="1"/>
    <xf numFmtId="0" fontId="0" fillId="2" borderId="3" xfId="0" applyFill="1" applyBorder="1"/>
    <xf numFmtId="0" fontId="3" fillId="2" borderId="10" xfId="0" applyFont="1" applyFill="1" applyBorder="1"/>
    <xf numFmtId="0" fontId="9" fillId="3" borderId="0" xfId="0" applyFont="1" applyFill="1"/>
    <xf numFmtId="0" fontId="10" fillId="2" borderId="0" xfId="0" applyFont="1" applyFill="1"/>
    <xf numFmtId="0" fontId="0" fillId="2" borderId="0" xfId="0" applyFill="1" applyProtection="1"/>
    <xf numFmtId="0" fontId="0" fillId="2" borderId="0" xfId="0" quotePrefix="1" applyFill="1"/>
    <xf numFmtId="0" fontId="4" fillId="2" borderId="8" xfId="1" applyNumberFormat="1" applyFont="1" applyFill="1" applyBorder="1" applyAlignment="1">
      <alignment horizontal="left"/>
    </xf>
    <xf numFmtId="0" fontId="0" fillId="2" borderId="11" xfId="0" applyNumberFormat="1" applyFill="1" applyBorder="1" applyAlignment="1">
      <alignment horizontal="center"/>
    </xf>
    <xf numFmtId="0" fontId="0" fillId="3" borderId="0" xfId="0" applyNumberFormat="1" applyFill="1" applyAlignment="1" applyProtection="1"/>
    <xf numFmtId="0" fontId="7" fillId="3" borderId="0" xfId="0" applyNumberFormat="1" applyFont="1" applyFill="1" applyAlignment="1">
      <alignment horizontal="left"/>
    </xf>
    <xf numFmtId="0" fontId="0" fillId="4" borderId="1" xfId="0" applyFill="1" applyBorder="1" applyProtection="1">
      <protection locked="0"/>
    </xf>
    <xf numFmtId="0" fontId="12" fillId="2" borderId="1" xfId="0" applyFont="1" applyFill="1" applyBorder="1"/>
    <xf numFmtId="0" fontId="3" fillId="2" borderId="1" xfId="0" applyNumberFormat="1" applyFont="1" applyFill="1" applyBorder="1" applyAlignment="1" applyProtection="1">
      <alignment horizontal="center"/>
    </xf>
    <xf numFmtId="0" fontId="0" fillId="4" borderId="2" xfId="0" quotePrefix="1" applyFill="1" applyBorder="1" applyProtection="1">
      <protection locked="0"/>
    </xf>
    <xf numFmtId="0" fontId="6" fillId="2" borderId="6" xfId="0" applyNumberFormat="1" applyFont="1" applyFill="1" applyBorder="1" applyAlignment="1">
      <alignment horizontal="center" vertical="center"/>
    </xf>
    <xf numFmtId="0" fontId="6" fillId="2" borderId="3" xfId="0" applyNumberFormat="1" applyFont="1" applyFill="1" applyBorder="1" applyAlignment="1">
      <alignment horizontal="center" vertical="center"/>
    </xf>
    <xf numFmtId="2" fontId="3" fillId="2" borderId="6" xfId="0" applyNumberFormat="1" applyFont="1" applyFill="1" applyBorder="1" applyAlignment="1">
      <alignment horizontal="center" vertical="center"/>
    </xf>
    <xf numFmtId="0" fontId="0" fillId="4" borderId="0" xfId="0" applyNumberFormat="1" applyFill="1" applyAlignment="1">
      <alignment horizontal="center"/>
    </xf>
    <xf numFmtId="0" fontId="0" fillId="2" borderId="0" xfId="0" applyNumberFormat="1" applyFill="1" applyAlignment="1">
      <alignment horizontal="center"/>
    </xf>
    <xf numFmtId="0" fontId="0" fillId="2" borderId="11" xfId="0" applyNumberFormat="1" applyFill="1" applyBorder="1"/>
    <xf numFmtId="0" fontId="0" fillId="2" borderId="5" xfId="0" applyNumberFormat="1" applyFill="1" applyBorder="1" applyAlignment="1">
      <alignment horizontal="center"/>
    </xf>
    <xf numFmtId="0" fontId="13" fillId="2" borderId="8" xfId="0" applyNumberFormat="1" applyFont="1" applyFill="1" applyBorder="1" applyAlignment="1">
      <alignment horizontal="left" vertical="center"/>
    </xf>
    <xf numFmtId="0" fontId="13" fillId="2" borderId="1" xfId="0" applyNumberFormat="1" applyFont="1" applyFill="1" applyBorder="1" applyAlignment="1">
      <alignment horizontal="left" vertical="center"/>
    </xf>
    <xf numFmtId="0" fontId="4" fillId="2" borderId="8" xfId="1" applyNumberFormat="1" applyFont="1" applyFill="1" applyBorder="1" applyAlignment="1">
      <alignment horizontal="left" vertical="center"/>
    </xf>
    <xf numFmtId="0" fontId="0" fillId="2" borderId="3" xfId="0" applyNumberFormat="1" applyFill="1" applyBorder="1" applyAlignment="1">
      <alignment horizontal="center"/>
    </xf>
    <xf numFmtId="0" fontId="0" fillId="2" borderId="12" xfId="0" applyNumberFormat="1" applyFill="1" applyBorder="1" applyAlignment="1">
      <alignment horizontal="center"/>
    </xf>
    <xf numFmtId="0" fontId="3" fillId="2" borderId="13" xfId="0" applyNumberFormat="1" applyFont="1" applyFill="1" applyBorder="1" applyAlignment="1">
      <alignment horizontal="center"/>
    </xf>
    <xf numFmtId="2" fontId="3" fillId="2" borderId="3" xfId="0" applyNumberFormat="1" applyFont="1" applyFill="1" applyBorder="1" applyAlignment="1">
      <alignment horizontal="center" vertical="center"/>
    </xf>
    <xf numFmtId="16" fontId="0" fillId="4" borderId="2" xfId="0" quotePrefix="1" applyNumberFormat="1" applyFill="1" applyBorder="1" applyAlignment="1" applyProtection="1">
      <alignment horizontal="center"/>
      <protection locked="0"/>
    </xf>
    <xf numFmtId="0" fontId="0" fillId="2" borderId="8" xfId="0" applyNumberFormat="1" applyFill="1" applyBorder="1" applyAlignment="1">
      <alignment horizontal="center" vertical="center"/>
    </xf>
    <xf numFmtId="0" fontId="0" fillId="0" borderId="5" xfId="0" applyBorder="1" applyAlignment="1">
      <alignment horizontal="center" vertical="center"/>
    </xf>
    <xf numFmtId="0" fontId="13" fillId="2" borderId="8" xfId="0" applyNumberFormat="1" applyFont="1" applyFill="1" applyBorder="1" applyAlignment="1">
      <alignment horizontal="center" vertical="center"/>
    </xf>
    <xf numFmtId="0" fontId="0" fillId="0" borderId="8" xfId="0" applyNumberFormat="1" applyFill="1" applyBorder="1" applyAlignment="1">
      <alignment horizontal="center" vertical="center"/>
    </xf>
    <xf numFmtId="0" fontId="0" fillId="0" borderId="5" xfId="0" applyNumberFormat="1" applyFill="1" applyBorder="1" applyAlignment="1">
      <alignment horizontal="center" vertical="center"/>
    </xf>
    <xf numFmtId="14" fontId="13" fillId="2" borderId="8" xfId="0" quotePrefix="1" applyNumberFormat="1" applyFont="1" applyFill="1" applyBorder="1" applyAlignment="1">
      <alignment horizontal="center" vertical="center"/>
    </xf>
    <xf numFmtId="2" fontId="0" fillId="0" borderId="11" xfId="0" applyNumberFormat="1" applyFill="1" applyBorder="1" applyAlignment="1">
      <alignment horizontal="center" vertical="center"/>
    </xf>
    <xf numFmtId="2" fontId="0" fillId="0" borderId="5" xfId="0" applyNumberFormat="1" applyBorder="1" applyAlignment="1">
      <alignment horizontal="center" vertical="center"/>
    </xf>
    <xf numFmtId="2" fontId="0" fillId="0" borderId="8" xfId="0" applyNumberFormat="1" applyFill="1" applyBorder="1" applyAlignment="1" applyProtection="1">
      <alignment horizontal="center" vertical="center"/>
      <protection locked="0"/>
    </xf>
    <xf numFmtId="0" fontId="0" fillId="0" borderId="5" xfId="0" applyBorder="1" applyAlignment="1" applyProtection="1">
      <alignment horizontal="center" vertical="center"/>
      <protection locked="0"/>
    </xf>
    <xf numFmtId="2" fontId="0" fillId="3" borderId="1" xfId="0" applyNumberFormat="1" applyFill="1" applyBorder="1" applyAlignment="1">
      <alignment horizontal="center" vertical="center"/>
    </xf>
    <xf numFmtId="0" fontId="3" fillId="2" borderId="1" xfId="0" applyNumberFormat="1" applyFont="1" applyFill="1" applyBorder="1" applyAlignment="1">
      <alignment horizontal="center" vertical="center"/>
    </xf>
    <xf numFmtId="0" fontId="0" fillId="0" borderId="1" xfId="0" applyBorder="1" applyAlignment="1">
      <alignment horizontal="center" vertical="center"/>
    </xf>
    <xf numFmtId="0" fontId="3" fillId="0" borderId="1" xfId="0" applyNumberFormat="1" applyFon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0" fontId="0" fillId="4" borderId="5" xfId="0" applyNumberFormat="1" applyFill="1" applyBorder="1" applyAlignment="1">
      <alignment horizontal="center" vertical="center"/>
    </xf>
    <xf numFmtId="2" fontId="4" fillId="0" borderId="8" xfId="1" applyNumberFormat="1" applyFont="1" applyFill="1" applyBorder="1" applyAlignment="1" applyProtection="1">
      <alignment horizontal="left"/>
      <protection locked="0"/>
    </xf>
    <xf numFmtId="0" fontId="0" fillId="0" borderId="11" xfId="0" applyBorder="1" applyAlignment="1">
      <alignment horizontal="left"/>
    </xf>
    <xf numFmtId="0" fontId="0" fillId="0" borderId="5" xfId="0" applyBorder="1" applyAlignment="1">
      <alignment horizontal="left"/>
    </xf>
    <xf numFmtId="0" fontId="3" fillId="2" borderId="8" xfId="0" applyNumberFormat="1" applyFont="1" applyFill="1" applyBorder="1" applyAlignment="1">
      <alignment horizontal="center" vertical="center"/>
    </xf>
    <xf numFmtId="0" fontId="3" fillId="2" borderId="5" xfId="0" applyNumberFormat="1" applyFont="1" applyFill="1" applyBorder="1" applyAlignment="1">
      <alignment horizontal="center" vertical="center"/>
    </xf>
    <xf numFmtId="0" fontId="6" fillId="2" borderId="6" xfId="0" applyNumberFormat="1" applyFont="1" applyFill="1" applyBorder="1" applyAlignment="1">
      <alignment horizontal="center" vertical="center"/>
    </xf>
    <xf numFmtId="0" fontId="6" fillId="2" borderId="3" xfId="0" applyNumberFormat="1" applyFont="1" applyFill="1" applyBorder="1" applyAlignment="1">
      <alignment horizontal="center" vertical="center"/>
    </xf>
    <xf numFmtId="2" fontId="6" fillId="2" borderId="6" xfId="0" applyNumberFormat="1" applyFont="1" applyFill="1" applyBorder="1" applyAlignment="1">
      <alignment horizontal="center" vertical="center"/>
    </xf>
    <xf numFmtId="2" fontId="0" fillId="0" borderId="3" xfId="0" applyNumberFormat="1" applyBorder="1" applyAlignment="1">
      <alignment horizontal="center" vertical="center"/>
    </xf>
    <xf numFmtId="0" fontId="0" fillId="0" borderId="8" xfId="1" applyNumberFormat="1" applyFont="1" applyFill="1" applyBorder="1" applyAlignment="1" applyProtection="1">
      <alignment horizontal="center" vertical="center"/>
      <protection locked="0"/>
    </xf>
    <xf numFmtId="0" fontId="3" fillId="0" borderId="3" xfId="0" applyNumberFormat="1" applyFont="1" applyFill="1" applyBorder="1" applyAlignment="1" applyProtection="1">
      <alignment horizontal="center" vertical="center"/>
      <protection locked="0"/>
    </xf>
    <xf numFmtId="0" fontId="0" fillId="0" borderId="3" xfId="0" applyFill="1" applyBorder="1" applyAlignment="1" applyProtection="1">
      <alignment horizontal="center" vertical="center"/>
      <protection locked="0"/>
    </xf>
    <xf numFmtId="0" fontId="0" fillId="0" borderId="11" xfId="0" applyNumberFormat="1" applyFill="1" applyBorder="1" applyAlignment="1">
      <alignment horizontal="center" vertical="center"/>
    </xf>
    <xf numFmtId="0" fontId="0" fillId="3" borderId="8" xfId="0" applyNumberFormat="1" applyFill="1" applyBorder="1" applyAlignment="1">
      <alignment horizontal="center" vertical="center"/>
    </xf>
    <xf numFmtId="0" fontId="0" fillId="0" borderId="11" xfId="0" applyBorder="1" applyAlignment="1">
      <alignment horizontal="center" vertical="center"/>
    </xf>
    <xf numFmtId="0" fontId="0" fillId="0" borderId="5" xfId="1" applyNumberFormat="1" applyFont="1" applyFill="1" applyBorder="1" applyAlignment="1" applyProtection="1">
      <alignment horizontal="center" vertical="center"/>
      <protection locked="0"/>
    </xf>
    <xf numFmtId="2" fontId="1" fillId="2" borderId="1" xfId="1" applyNumberFormat="1" applyFont="1" applyFill="1" applyBorder="1" applyAlignment="1">
      <alignment horizontal="center" vertical="center"/>
    </xf>
    <xf numFmtId="0" fontId="1" fillId="2" borderId="1" xfId="0" applyNumberFormat="1" applyFont="1" applyFill="1" applyBorder="1" applyAlignment="1">
      <alignment horizontal="center" vertical="center"/>
    </xf>
    <xf numFmtId="0" fontId="0" fillId="4" borderId="8" xfId="1" applyNumberFormat="1" applyFont="1" applyFill="1" applyBorder="1" applyAlignment="1" applyProtection="1">
      <alignment horizontal="center" vertical="center"/>
      <protection locked="0"/>
    </xf>
    <xf numFmtId="0" fontId="0" fillId="4" borderId="5" xfId="1" applyNumberFormat="1" applyFont="1" applyFill="1" applyBorder="1" applyAlignment="1" applyProtection="1">
      <alignment horizontal="center" vertical="center"/>
      <protection locked="0"/>
    </xf>
    <xf numFmtId="0" fontId="3" fillId="2" borderId="14" xfId="0" applyNumberFormat="1" applyFont="1" applyFill="1" applyBorder="1" applyAlignment="1">
      <alignment horizontal="center" vertical="center"/>
    </xf>
    <xf numFmtId="0" fontId="0" fillId="2" borderId="14" xfId="0" applyFill="1" applyBorder="1" applyAlignment="1">
      <alignment horizontal="center" vertical="center"/>
    </xf>
    <xf numFmtId="0" fontId="3" fillId="2" borderId="1" xfId="0" applyNumberFormat="1" applyFont="1" applyFill="1" applyBorder="1" applyAlignment="1">
      <alignment horizontal="left" vertical="center"/>
    </xf>
    <xf numFmtId="0" fontId="0" fillId="0" borderId="1" xfId="0" applyBorder="1" applyAlignment="1">
      <alignment horizontal="left" vertical="center"/>
    </xf>
    <xf numFmtId="0" fontId="0" fillId="0" borderId="14" xfId="0" applyBorder="1" applyAlignment="1">
      <alignment horizontal="center" vertical="center"/>
    </xf>
    <xf numFmtId="0" fontId="3" fillId="2" borderId="3" xfId="0" applyNumberFormat="1" applyFont="1" applyFill="1" applyBorder="1" applyAlignment="1">
      <alignment horizontal="left" vertical="center"/>
    </xf>
    <xf numFmtId="0" fontId="0" fillId="0" borderId="3" xfId="0" applyBorder="1" applyAlignment="1">
      <alignment horizontal="left" vertical="center"/>
    </xf>
    <xf numFmtId="0" fontId="3" fillId="2" borderId="16" xfId="0" applyNumberFormat="1" applyFont="1" applyFill="1" applyBorder="1" applyAlignment="1">
      <alignment horizontal="center" vertical="center"/>
    </xf>
    <xf numFmtId="0" fontId="3" fillId="2" borderId="17" xfId="0" applyNumberFormat="1" applyFont="1" applyFill="1" applyBorder="1" applyAlignment="1">
      <alignment horizontal="center" vertical="center"/>
    </xf>
    <xf numFmtId="0" fontId="3" fillId="2" borderId="18" xfId="0" applyNumberFormat="1" applyFont="1" applyFill="1" applyBorder="1" applyAlignment="1">
      <alignment horizontal="center" vertical="center"/>
    </xf>
    <xf numFmtId="0" fontId="0" fillId="2" borderId="6" xfId="0" applyNumberFormat="1" applyFill="1" applyBorder="1" applyAlignment="1">
      <alignment horizontal="center" vertical="center"/>
    </xf>
    <xf numFmtId="0" fontId="0" fillId="0" borderId="3" xfId="0" applyBorder="1" applyAlignment="1">
      <alignment horizontal="center" vertical="center"/>
    </xf>
    <xf numFmtId="2" fontId="0" fillId="0" borderId="6" xfId="1" applyNumberFormat="1" applyFont="1" applyFill="1"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3" fillId="2" borderId="6" xfId="0" applyNumberFormat="1" applyFont="1" applyFill="1" applyBorder="1" applyAlignment="1">
      <alignment horizontal="center" vertical="center"/>
    </xf>
    <xf numFmtId="0" fontId="0" fillId="3" borderId="11" xfId="0" applyNumberFormat="1" applyFill="1" applyBorder="1" applyAlignment="1">
      <alignment horizontal="center" vertical="center"/>
    </xf>
    <xf numFmtId="2" fontId="0" fillId="0" borderId="5" xfId="0" applyNumberFormat="1" applyFill="1" applyBorder="1" applyAlignment="1" applyProtection="1">
      <alignment horizontal="center" vertical="center"/>
      <protection locked="0"/>
    </xf>
    <xf numFmtId="16" fontId="0" fillId="3" borderId="11" xfId="0" applyNumberFormat="1" applyFill="1" applyBorder="1" applyAlignment="1">
      <alignment horizontal="center" vertical="center"/>
    </xf>
    <xf numFmtId="2" fontId="0" fillId="0" borderId="12" xfId="1" applyNumberFormat="1" applyFont="1" applyFill="1" applyBorder="1" applyAlignment="1" applyProtection="1">
      <alignment horizontal="center" vertical="center"/>
      <protection locked="0"/>
    </xf>
    <xf numFmtId="0" fontId="0" fillId="0" borderId="4" xfId="0" applyBorder="1" applyAlignment="1" applyProtection="1">
      <alignment horizontal="center" vertical="center"/>
      <protection locked="0"/>
    </xf>
    <xf numFmtId="2" fontId="0" fillId="0" borderId="4" xfId="1" applyNumberFormat="1" applyFont="1" applyFill="1" applyBorder="1" applyAlignment="1" applyProtection="1">
      <alignment horizontal="center" vertical="center"/>
      <protection locked="0"/>
    </xf>
    <xf numFmtId="2" fontId="0" fillId="0" borderId="15" xfId="1" applyNumberFormat="1" applyFont="1" applyFill="1" applyBorder="1" applyAlignment="1" applyProtection="1">
      <alignment horizontal="center" vertical="center"/>
      <protection locked="0"/>
    </xf>
    <xf numFmtId="0" fontId="0" fillId="0" borderId="3" xfId="0" applyBorder="1" applyProtection="1">
      <protection locked="0"/>
    </xf>
    <xf numFmtId="0" fontId="0" fillId="2" borderId="5" xfId="1" applyNumberFormat="1" applyFont="1" applyFill="1" applyBorder="1" applyAlignment="1" applyProtection="1">
      <alignment horizontal="center" vertical="center"/>
      <protection locked="0"/>
    </xf>
    <xf numFmtId="0" fontId="8" fillId="2" borderId="0" xfId="0" applyFont="1" applyFill="1" applyAlignment="1">
      <alignment horizontal="center" vertical="center"/>
    </xf>
    <xf numFmtId="0" fontId="0" fillId="2" borderId="0" xfId="0" applyFill="1" applyAlignment="1">
      <alignment horizontal="center" vertical="center"/>
    </xf>
    <xf numFmtId="0" fontId="3" fillId="2" borderId="0" xfId="0" applyFont="1" applyFill="1" applyBorder="1" applyAlignment="1">
      <alignment horizontal="center" vertical="center"/>
    </xf>
    <xf numFmtId="0" fontId="0" fillId="0" borderId="0" xfId="0" applyBorder="1" applyAlignment="1">
      <alignment horizontal="center" vertical="center"/>
    </xf>
  </cellXfs>
  <cellStyles count="2">
    <cellStyle name="Currency" xfId="1" builtinId="4"/>
    <cellStyle name="Normal" xfId="0" builtinId="0"/>
  </cellStyles>
  <dxfs count="2">
    <dxf>
      <fill>
        <patternFill patternType="solid">
          <bgColor indexed="55"/>
        </patternFill>
      </fill>
    </dxf>
    <dxf>
      <fill>
        <patternFill patternType="solid">
          <bgColor indexed="5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nb-NO"/>
              <a:t>XZ Plot</a:t>
            </a:r>
          </a:p>
        </c:rich>
      </c:tx>
      <c:layout/>
      <c:overlay val="0"/>
    </c:title>
    <c:autoTitleDeleted val="0"/>
    <c:plotArea>
      <c:layout>
        <c:manualLayout>
          <c:xMode val="edge"/>
          <c:yMode val="edge"/>
          <c:x val="2.8011204481792718E-2"/>
          <c:y val="8.3333333333333329E-2"/>
          <c:w val="0.97198879551820727"/>
          <c:h val="0.81605889107611551"/>
        </c:manualLayout>
      </c:layout>
      <c:scatterChart>
        <c:scatterStyle val="lineMarker"/>
        <c:varyColors val="0"/>
        <c:ser>
          <c:idx val="0"/>
          <c:order val="0"/>
          <c:tx>
            <c:v>Leg1</c:v>
          </c:tx>
          <c:spPr>
            <a:ln w="38100">
              <a:solidFill>
                <a:srgbClr val="000000"/>
              </a:solidFill>
              <a:prstDash val="solid"/>
            </a:ln>
          </c:spPr>
          <c:marker>
            <c:symbol val="circle"/>
            <c:size val="6"/>
            <c:spPr>
              <a:solidFill>
                <a:srgbClr val="00E1E1"/>
              </a:solidFill>
              <a:ln>
                <a:solidFill>
                  <a:srgbClr val="000000"/>
                </a:solidFill>
                <a:prstDash val="solid"/>
              </a:ln>
            </c:spPr>
          </c:marker>
          <c:dLbls>
            <c:dLbl>
              <c:idx val="0"/>
              <c:layout/>
              <c:tx>
                <c:rich>
                  <a:bodyPr/>
                  <a:lstStyle/>
                  <a:p>
                    <a:r>
                      <a:rPr lang="nb-NO"/>
                      <a:t>1</a:t>
                    </a:r>
                  </a:p>
                </c:rich>
              </c:tx>
              <c:showLegendKey val="0"/>
              <c:showVal val="1"/>
              <c:showCatName val="0"/>
              <c:showSerName val="0"/>
              <c:showPercent val="0"/>
              <c:showBubbleSize val="0"/>
            </c:dLbl>
            <c:showLegendKey val="0"/>
            <c:showVal val="0"/>
            <c:showCatName val="0"/>
            <c:showSerName val="0"/>
            <c:showPercent val="0"/>
            <c:showBubbleSize val="0"/>
          </c:dLbls>
          <c:xVal>
            <c:numLit>
              <c:formatCode>General</c:formatCode>
              <c:ptCount val="2"/>
              <c:pt idx="0">
                <c:v>-6</c:v>
              </c:pt>
              <c:pt idx="1">
                <c:v>-6</c:v>
              </c:pt>
            </c:numLit>
          </c:xVal>
          <c:yVal>
            <c:numLit>
              <c:formatCode>General</c:formatCode>
              <c:ptCount val="2"/>
              <c:pt idx="0">
                <c:v>120</c:v>
              </c:pt>
              <c:pt idx="1">
                <c:v>148</c:v>
              </c:pt>
            </c:numLit>
          </c:yVal>
          <c:smooth val="0"/>
        </c:ser>
        <c:ser>
          <c:idx val="1"/>
          <c:order val="1"/>
          <c:tx>
            <c:v>Leg2</c:v>
          </c:tx>
          <c:spPr>
            <a:ln w="38100">
              <a:solidFill>
                <a:srgbClr val="000000"/>
              </a:solidFill>
              <a:prstDash val="solid"/>
            </a:ln>
          </c:spPr>
          <c:marker>
            <c:symbol val="circle"/>
            <c:size val="6"/>
            <c:spPr>
              <a:solidFill>
                <a:srgbClr val="FF0000"/>
              </a:solidFill>
              <a:ln>
                <a:solidFill>
                  <a:srgbClr val="000000"/>
                </a:solidFill>
                <a:prstDash val="solid"/>
              </a:ln>
            </c:spPr>
          </c:marker>
          <c:dLbls>
            <c:dLbl>
              <c:idx val="0"/>
              <c:layout/>
              <c:tx>
                <c:rich>
                  <a:bodyPr/>
                  <a:lstStyle/>
                  <a:p>
                    <a:r>
                      <a:rPr lang="nb-NO"/>
                      <a:t>2</a:t>
                    </a:r>
                  </a:p>
                </c:rich>
              </c:tx>
              <c:showLegendKey val="0"/>
              <c:showVal val="1"/>
              <c:showCatName val="0"/>
              <c:showSerName val="0"/>
              <c:showPercent val="0"/>
              <c:showBubbleSize val="0"/>
            </c:dLbl>
            <c:dLbl>
              <c:idx val="1"/>
              <c:layout/>
              <c:tx>
                <c:rich>
                  <a:bodyPr rot="-5400000" vert="horz"/>
                  <a:lstStyle/>
                  <a:p>
                    <a:pPr>
                      <a:defRPr/>
                    </a:pPr>
                    <a:r>
                      <a:rPr lang="nb-NO"/>
                      <a:t>No Beam</a:t>
                    </a:r>
                  </a:p>
                </c:rich>
              </c:tx>
              <c:spPr/>
              <c:dLblPos val="t"/>
              <c:showLegendKey val="0"/>
              <c:showVal val="1"/>
              <c:showCatName val="0"/>
              <c:showSerName val="0"/>
              <c:showPercent val="0"/>
              <c:showBubbleSize val="0"/>
            </c:dLbl>
            <c:showLegendKey val="0"/>
            <c:showVal val="0"/>
            <c:showCatName val="0"/>
            <c:showSerName val="0"/>
            <c:showPercent val="0"/>
            <c:showBubbleSize val="0"/>
          </c:dLbls>
          <c:xVal>
            <c:numLit>
              <c:formatCode>General</c:formatCode>
              <c:ptCount val="2"/>
              <c:pt idx="0">
                <c:v>6</c:v>
              </c:pt>
              <c:pt idx="1">
                <c:v>6</c:v>
              </c:pt>
            </c:numLit>
          </c:xVal>
          <c:yVal>
            <c:numLit>
              <c:formatCode>General</c:formatCode>
              <c:ptCount val="2"/>
              <c:pt idx="0">
                <c:v>120</c:v>
              </c:pt>
              <c:pt idx="1">
                <c:v>148</c:v>
              </c:pt>
            </c:numLit>
          </c:yVal>
          <c:smooth val="0"/>
        </c:ser>
        <c:ser>
          <c:idx val="2"/>
          <c:order val="2"/>
          <c:tx>
            <c:v>Leg3</c:v>
          </c:tx>
          <c:spPr>
            <a:ln w="38100">
              <a:solidFill>
                <a:srgbClr val="000000"/>
              </a:solidFill>
              <a:prstDash val="solid"/>
            </a:ln>
          </c:spPr>
          <c:marker>
            <c:symbol val="circle"/>
            <c:size val="6"/>
            <c:spPr>
              <a:solidFill>
                <a:srgbClr val="00E1E1"/>
              </a:solidFill>
              <a:ln>
                <a:solidFill>
                  <a:srgbClr val="000000"/>
                </a:solidFill>
                <a:prstDash val="solid"/>
              </a:ln>
            </c:spPr>
          </c:marker>
          <c:dLbls>
            <c:dLbl>
              <c:idx val="0"/>
              <c:layout/>
              <c:tx>
                <c:rich>
                  <a:bodyPr/>
                  <a:lstStyle/>
                  <a:p>
                    <a:r>
                      <a:rPr lang="nb-NO"/>
                      <a:t>3</a:t>
                    </a:r>
                  </a:p>
                </c:rich>
              </c:tx>
              <c:showLegendKey val="0"/>
              <c:showVal val="1"/>
              <c:showCatName val="0"/>
              <c:showSerName val="0"/>
              <c:showPercent val="0"/>
              <c:showBubbleSize val="0"/>
            </c:dLbl>
            <c:showLegendKey val="0"/>
            <c:showVal val="0"/>
            <c:showCatName val="0"/>
            <c:showSerName val="0"/>
            <c:showPercent val="0"/>
            <c:showBubbleSize val="0"/>
          </c:dLbls>
          <c:xVal>
            <c:numLit>
              <c:formatCode>General</c:formatCode>
              <c:ptCount val="2"/>
              <c:pt idx="0">
                <c:v>10</c:v>
              </c:pt>
              <c:pt idx="1">
                <c:v>10</c:v>
              </c:pt>
            </c:numLit>
          </c:xVal>
          <c:yVal>
            <c:numLit>
              <c:formatCode>General</c:formatCode>
              <c:ptCount val="2"/>
              <c:pt idx="0">
                <c:v>120</c:v>
              </c:pt>
              <c:pt idx="1">
                <c:v>148</c:v>
              </c:pt>
            </c:numLit>
          </c:yVal>
          <c:smooth val="0"/>
        </c:ser>
        <c:ser>
          <c:idx val="3"/>
          <c:order val="3"/>
          <c:tx>
            <c:v>Leg4</c:v>
          </c:tx>
          <c:spPr>
            <a:ln w="12700">
              <a:solidFill>
                <a:srgbClr val="000000"/>
              </a:solidFill>
              <a:prstDash val="solid"/>
            </a:ln>
          </c:spPr>
          <c:marker>
            <c:symbol val="circle"/>
            <c:size val="6"/>
            <c:spPr>
              <a:solidFill>
                <a:srgbClr val="FF0000"/>
              </a:solidFill>
              <a:ln>
                <a:solidFill>
                  <a:srgbClr val="000000"/>
                </a:solidFill>
                <a:prstDash val="solid"/>
              </a:ln>
            </c:spPr>
          </c:marker>
          <c:dLbls>
            <c:dLbl>
              <c:idx val="0"/>
              <c:layout/>
              <c:tx>
                <c:rich>
                  <a:bodyPr/>
                  <a:lstStyle/>
                  <a:p>
                    <a:r>
                      <a:rPr lang="nb-NO"/>
                      <a:t>4</a:t>
                    </a:r>
                  </a:p>
                </c:rich>
              </c:tx>
              <c:showLegendKey val="0"/>
              <c:showVal val="1"/>
              <c:showCatName val="0"/>
              <c:showSerName val="0"/>
              <c:showPercent val="0"/>
              <c:showBubbleSize val="0"/>
            </c:dLbl>
            <c:dLbl>
              <c:idx val="1"/>
              <c:layout/>
              <c:tx>
                <c:rich>
                  <a:bodyPr rot="-5400000" vert="horz"/>
                  <a:lstStyle/>
                  <a:p>
                    <a:pPr>
                      <a:defRPr/>
                    </a:pPr>
                    <a:r>
                      <a:rPr lang="nb-NO"/>
                      <a:t>No Beam</a:t>
                    </a:r>
                  </a:p>
                </c:rich>
              </c:tx>
              <c:spPr/>
              <c:dLblPos val="t"/>
              <c:showLegendKey val="0"/>
              <c:showVal val="1"/>
              <c:showCatName val="0"/>
              <c:showSerName val="0"/>
              <c:showPercent val="0"/>
              <c:showBubbleSize val="0"/>
            </c:dLbl>
            <c:showLegendKey val="0"/>
            <c:showVal val="0"/>
            <c:showCatName val="0"/>
            <c:showSerName val="0"/>
            <c:showPercent val="0"/>
            <c:showBubbleSize val="0"/>
          </c:dLbls>
          <c:xVal>
            <c:numLit>
              <c:formatCode>General</c:formatCode>
              <c:ptCount val="2"/>
              <c:pt idx="0">
                <c:v>12</c:v>
              </c:pt>
              <c:pt idx="1">
                <c:v>12</c:v>
              </c:pt>
            </c:numLit>
          </c:xVal>
          <c:yVal>
            <c:numLit>
              <c:formatCode>General</c:formatCode>
              <c:ptCount val="2"/>
              <c:pt idx="0">
                <c:v>120</c:v>
              </c:pt>
              <c:pt idx="1">
                <c:v>148</c:v>
              </c:pt>
            </c:numLit>
          </c:yVal>
          <c:smooth val="0"/>
        </c:ser>
        <c:ser>
          <c:idx val="4"/>
          <c:order val="4"/>
          <c:tx>
            <c:v>Leg5</c:v>
          </c:tx>
          <c:spPr>
            <a:ln w="38100">
              <a:solidFill>
                <a:srgbClr val="000000"/>
              </a:solidFill>
              <a:prstDash val="solid"/>
            </a:ln>
          </c:spPr>
          <c:marker>
            <c:symbol val="circle"/>
            <c:size val="6"/>
            <c:spPr>
              <a:solidFill>
                <a:srgbClr val="00E1E1"/>
              </a:solidFill>
              <a:ln>
                <a:solidFill>
                  <a:srgbClr val="000000"/>
                </a:solidFill>
                <a:prstDash val="solid"/>
              </a:ln>
            </c:spPr>
          </c:marker>
          <c:dLbls>
            <c:dLbl>
              <c:idx val="0"/>
              <c:layout/>
              <c:tx>
                <c:rich>
                  <a:bodyPr/>
                  <a:lstStyle/>
                  <a:p>
                    <a:r>
                      <a:rPr lang="nb-NO"/>
                      <a:t>5</a:t>
                    </a:r>
                  </a:p>
                </c:rich>
              </c:tx>
              <c:showLegendKey val="0"/>
              <c:showVal val="1"/>
              <c:showCatName val="0"/>
              <c:showSerName val="0"/>
              <c:showPercent val="0"/>
              <c:showBubbleSize val="0"/>
            </c:dLbl>
            <c:showLegendKey val="0"/>
            <c:showVal val="0"/>
            <c:showCatName val="0"/>
            <c:showSerName val="0"/>
            <c:showPercent val="0"/>
            <c:showBubbleSize val="0"/>
          </c:dLbls>
          <c:xVal>
            <c:numLit>
              <c:formatCode>General</c:formatCode>
              <c:ptCount val="2"/>
              <c:pt idx="0">
                <c:v>18</c:v>
              </c:pt>
              <c:pt idx="1">
                <c:v>18</c:v>
              </c:pt>
            </c:numLit>
          </c:xVal>
          <c:yVal>
            <c:numLit>
              <c:formatCode>General</c:formatCode>
              <c:ptCount val="2"/>
              <c:pt idx="0">
                <c:v>120</c:v>
              </c:pt>
              <c:pt idx="1">
                <c:v>148</c:v>
              </c:pt>
            </c:numLit>
          </c:yVal>
          <c:smooth val="0"/>
        </c:ser>
        <c:ser>
          <c:idx val="5"/>
          <c:order val="5"/>
          <c:tx>
            <c:v>Leg6</c:v>
          </c:tx>
          <c:spPr>
            <a:ln w="38100">
              <a:solidFill>
                <a:srgbClr val="000000"/>
              </a:solidFill>
              <a:prstDash val="solid"/>
            </a:ln>
          </c:spPr>
          <c:marker>
            <c:symbol val="circle"/>
            <c:size val="6"/>
            <c:spPr>
              <a:solidFill>
                <a:srgbClr val="00E1E1"/>
              </a:solidFill>
              <a:ln>
                <a:solidFill>
                  <a:srgbClr val="000000"/>
                </a:solidFill>
                <a:prstDash val="solid"/>
              </a:ln>
            </c:spPr>
          </c:marker>
          <c:dLbls>
            <c:dLbl>
              <c:idx val="0"/>
              <c:layout/>
              <c:tx>
                <c:rich>
                  <a:bodyPr/>
                  <a:lstStyle/>
                  <a:p>
                    <a:r>
                      <a:rPr lang="nb-NO"/>
                      <a:t>6</a:t>
                    </a:r>
                  </a:p>
                </c:rich>
              </c:tx>
              <c:showLegendKey val="0"/>
              <c:showVal val="1"/>
              <c:showCatName val="0"/>
              <c:showSerName val="0"/>
              <c:showPercent val="0"/>
              <c:showBubbleSize val="0"/>
            </c:dLbl>
            <c:showLegendKey val="0"/>
            <c:showVal val="0"/>
            <c:showCatName val="0"/>
            <c:showSerName val="0"/>
            <c:showPercent val="0"/>
            <c:showBubbleSize val="0"/>
          </c:dLbls>
          <c:xVal>
            <c:numLit>
              <c:formatCode>General</c:formatCode>
              <c:ptCount val="2"/>
              <c:pt idx="0">
                <c:v>22</c:v>
              </c:pt>
              <c:pt idx="1">
                <c:v>22</c:v>
              </c:pt>
            </c:numLit>
          </c:xVal>
          <c:yVal>
            <c:numLit>
              <c:formatCode>General</c:formatCode>
              <c:ptCount val="2"/>
              <c:pt idx="0">
                <c:v>120</c:v>
              </c:pt>
              <c:pt idx="1">
                <c:v>148</c:v>
              </c:pt>
            </c:numLit>
          </c:yVal>
          <c:smooth val="0"/>
        </c:ser>
        <c:ser>
          <c:idx val="6"/>
          <c:order val="6"/>
          <c:tx>
            <c:v>Leg7</c:v>
          </c:tx>
          <c:spPr>
            <a:ln w="38100">
              <a:solidFill>
                <a:srgbClr val="000000"/>
              </a:solidFill>
              <a:prstDash val="solid"/>
            </a:ln>
          </c:spPr>
          <c:marker>
            <c:symbol val="circle"/>
            <c:size val="6"/>
            <c:spPr>
              <a:solidFill>
                <a:srgbClr val="FF0000"/>
              </a:solidFill>
              <a:ln>
                <a:solidFill>
                  <a:srgbClr val="000000"/>
                </a:solidFill>
                <a:prstDash val="solid"/>
              </a:ln>
            </c:spPr>
          </c:marker>
          <c:dLbls>
            <c:dLbl>
              <c:idx val="0"/>
              <c:layout/>
              <c:tx>
                <c:rich>
                  <a:bodyPr/>
                  <a:lstStyle/>
                  <a:p>
                    <a:r>
                      <a:rPr lang="nb-NO"/>
                      <a:t>7</a:t>
                    </a:r>
                  </a:p>
                </c:rich>
              </c:tx>
              <c:showLegendKey val="0"/>
              <c:showVal val="1"/>
              <c:showCatName val="0"/>
              <c:showSerName val="0"/>
              <c:showPercent val="0"/>
              <c:showBubbleSize val="0"/>
            </c:dLbl>
            <c:dLbl>
              <c:idx val="1"/>
              <c:layout/>
              <c:tx>
                <c:rich>
                  <a:bodyPr rot="-5400000" vert="horz"/>
                  <a:lstStyle/>
                  <a:p>
                    <a:pPr>
                      <a:defRPr/>
                    </a:pPr>
                    <a:r>
                      <a:rPr lang="nb-NO"/>
                      <a:t>No Beam</a:t>
                    </a:r>
                  </a:p>
                </c:rich>
              </c:tx>
              <c:spPr/>
              <c:dLblPos val="t"/>
              <c:showLegendKey val="0"/>
              <c:showVal val="1"/>
              <c:showCatName val="0"/>
              <c:showSerName val="0"/>
              <c:showPercent val="0"/>
              <c:showBubbleSize val="0"/>
            </c:dLbl>
            <c:showLegendKey val="0"/>
            <c:showVal val="0"/>
            <c:showCatName val="0"/>
            <c:showSerName val="0"/>
            <c:showPercent val="0"/>
            <c:showBubbleSize val="0"/>
          </c:dLbls>
          <c:xVal>
            <c:numLit>
              <c:formatCode>General</c:formatCode>
              <c:ptCount val="2"/>
              <c:pt idx="0">
                <c:v>30</c:v>
              </c:pt>
              <c:pt idx="1">
                <c:v>30</c:v>
              </c:pt>
            </c:numLit>
          </c:xVal>
          <c:yVal>
            <c:numLit>
              <c:formatCode>General</c:formatCode>
              <c:ptCount val="2"/>
              <c:pt idx="0">
                <c:v>120</c:v>
              </c:pt>
              <c:pt idx="1">
                <c:v>148</c:v>
              </c:pt>
            </c:numLit>
          </c:yVal>
          <c:smooth val="0"/>
        </c:ser>
        <c:ser>
          <c:idx val="7"/>
          <c:order val="7"/>
          <c:tx>
            <c:v>Leg8</c:v>
          </c:tx>
          <c:spPr>
            <a:ln w="12700">
              <a:solidFill>
                <a:srgbClr val="000000"/>
              </a:solidFill>
              <a:prstDash val="solid"/>
            </a:ln>
          </c:spPr>
          <c:marker>
            <c:symbol val="circle"/>
            <c:size val="6"/>
            <c:spPr>
              <a:solidFill>
                <a:srgbClr val="00E1E1"/>
              </a:solidFill>
              <a:ln>
                <a:solidFill>
                  <a:srgbClr val="000000"/>
                </a:solidFill>
                <a:prstDash val="solid"/>
              </a:ln>
            </c:spPr>
          </c:marker>
          <c:dLbls>
            <c:dLbl>
              <c:idx val="0"/>
              <c:layout/>
              <c:tx>
                <c:rich>
                  <a:bodyPr/>
                  <a:lstStyle/>
                  <a:p>
                    <a:r>
                      <a:rPr lang="nb-NO"/>
                      <a:t>8</a:t>
                    </a:r>
                  </a:p>
                </c:rich>
              </c:tx>
              <c:showLegendKey val="0"/>
              <c:showVal val="1"/>
              <c:showCatName val="0"/>
              <c:showSerName val="0"/>
              <c:showPercent val="0"/>
              <c:showBubbleSize val="0"/>
            </c:dLbl>
            <c:showLegendKey val="0"/>
            <c:showVal val="0"/>
            <c:showCatName val="0"/>
            <c:showSerName val="0"/>
            <c:showPercent val="0"/>
            <c:showBubbleSize val="0"/>
          </c:dLbls>
          <c:xVal>
            <c:numLit>
              <c:formatCode>General</c:formatCode>
              <c:ptCount val="2"/>
              <c:pt idx="0">
                <c:v>32</c:v>
              </c:pt>
              <c:pt idx="1">
                <c:v>32</c:v>
              </c:pt>
            </c:numLit>
          </c:xVal>
          <c:yVal>
            <c:numLit>
              <c:formatCode>General</c:formatCode>
              <c:ptCount val="2"/>
              <c:pt idx="0">
                <c:v>120</c:v>
              </c:pt>
              <c:pt idx="1">
                <c:v>148</c:v>
              </c:pt>
            </c:numLit>
          </c:yVal>
          <c:smooth val="0"/>
        </c:ser>
        <c:ser>
          <c:idx val="8"/>
          <c:order val="8"/>
          <c:tx>
            <c:v>Leg9</c:v>
          </c:tx>
          <c:spPr>
            <a:ln w="38100">
              <a:solidFill>
                <a:srgbClr val="000000"/>
              </a:solidFill>
              <a:prstDash val="solid"/>
            </a:ln>
          </c:spPr>
          <c:marker>
            <c:symbol val="circle"/>
            <c:size val="6"/>
            <c:spPr>
              <a:solidFill>
                <a:srgbClr val="00E1E1"/>
              </a:solidFill>
              <a:ln>
                <a:solidFill>
                  <a:srgbClr val="000000"/>
                </a:solidFill>
                <a:prstDash val="solid"/>
              </a:ln>
            </c:spPr>
          </c:marker>
          <c:dLbls>
            <c:dLbl>
              <c:idx val="0"/>
              <c:layout/>
              <c:tx>
                <c:rich>
                  <a:bodyPr/>
                  <a:lstStyle/>
                  <a:p>
                    <a:r>
                      <a:rPr lang="nb-NO"/>
                      <a:t>9</a:t>
                    </a:r>
                  </a:p>
                </c:rich>
              </c:tx>
              <c:showLegendKey val="0"/>
              <c:showVal val="1"/>
              <c:showCatName val="0"/>
              <c:showSerName val="0"/>
              <c:showPercent val="0"/>
              <c:showBubbleSize val="0"/>
            </c:dLbl>
            <c:showLegendKey val="0"/>
            <c:showVal val="0"/>
            <c:showCatName val="0"/>
            <c:showSerName val="0"/>
            <c:showPercent val="0"/>
            <c:showBubbleSize val="0"/>
          </c:dLbls>
          <c:xVal>
            <c:numLit>
              <c:formatCode>General</c:formatCode>
              <c:ptCount val="2"/>
              <c:pt idx="0">
                <c:v>34</c:v>
              </c:pt>
              <c:pt idx="1">
                <c:v>34</c:v>
              </c:pt>
            </c:numLit>
          </c:xVal>
          <c:yVal>
            <c:numLit>
              <c:formatCode>General</c:formatCode>
              <c:ptCount val="2"/>
              <c:pt idx="0">
                <c:v>120</c:v>
              </c:pt>
              <c:pt idx="1">
                <c:v>148</c:v>
              </c:pt>
            </c:numLit>
          </c:yVal>
          <c:smooth val="0"/>
        </c:ser>
        <c:ser>
          <c:idx val="9"/>
          <c:order val="9"/>
          <c:tx>
            <c:v>Leg10</c:v>
          </c:tx>
          <c:spPr>
            <a:ln w="38100">
              <a:solidFill>
                <a:srgbClr val="000000"/>
              </a:solidFill>
              <a:prstDash val="solid"/>
            </a:ln>
          </c:spPr>
          <c:marker>
            <c:symbol val="circle"/>
            <c:size val="6"/>
            <c:spPr>
              <a:solidFill>
                <a:srgbClr val="00E1E1"/>
              </a:solidFill>
              <a:ln>
                <a:solidFill>
                  <a:srgbClr val="000000"/>
                </a:solidFill>
                <a:prstDash val="solid"/>
              </a:ln>
            </c:spPr>
          </c:marker>
          <c:dLbls>
            <c:dLbl>
              <c:idx val="0"/>
              <c:layout/>
              <c:tx>
                <c:rich>
                  <a:bodyPr/>
                  <a:lstStyle/>
                  <a:p>
                    <a:r>
                      <a:rPr lang="nb-NO"/>
                      <a:t>10</a:t>
                    </a:r>
                  </a:p>
                </c:rich>
              </c:tx>
              <c:showLegendKey val="0"/>
              <c:showVal val="1"/>
              <c:showCatName val="0"/>
              <c:showSerName val="0"/>
              <c:showPercent val="0"/>
              <c:showBubbleSize val="0"/>
            </c:dLbl>
            <c:showLegendKey val="0"/>
            <c:showVal val="0"/>
            <c:showCatName val="0"/>
            <c:showSerName val="0"/>
            <c:showPercent val="0"/>
            <c:showBubbleSize val="0"/>
          </c:dLbls>
          <c:xVal>
            <c:numLit>
              <c:formatCode>General</c:formatCode>
              <c:ptCount val="2"/>
              <c:pt idx="0">
                <c:v>42</c:v>
              </c:pt>
              <c:pt idx="1">
                <c:v>42</c:v>
              </c:pt>
            </c:numLit>
          </c:xVal>
          <c:yVal>
            <c:numLit>
              <c:formatCode>General</c:formatCode>
              <c:ptCount val="2"/>
              <c:pt idx="0">
                <c:v>120</c:v>
              </c:pt>
              <c:pt idx="1">
                <c:v>148</c:v>
              </c:pt>
            </c:numLit>
          </c:yVal>
          <c:smooth val="0"/>
        </c:ser>
        <c:ser>
          <c:idx val="10"/>
          <c:order val="10"/>
          <c:tx>
            <c:v>Brace1</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-6</c:v>
              </c:pt>
              <c:pt idx="1">
                <c:v>6</c:v>
              </c:pt>
            </c:numLit>
          </c:xVal>
          <c:yVal>
            <c:numLit>
              <c:formatCode>General</c:formatCode>
              <c:ptCount val="2"/>
              <c:pt idx="0">
                <c:v>124</c:v>
              </c:pt>
              <c:pt idx="1">
                <c:v>124</c:v>
              </c:pt>
            </c:numLit>
          </c:yVal>
          <c:smooth val="0"/>
        </c:ser>
        <c:ser>
          <c:idx val="11"/>
          <c:order val="11"/>
          <c:tx>
            <c:v>Brace2</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-6</c:v>
              </c:pt>
              <c:pt idx="1">
                <c:v>6</c:v>
              </c:pt>
            </c:numLit>
          </c:xVal>
          <c:yVal>
            <c:numLit>
              <c:formatCode>General</c:formatCode>
              <c:ptCount val="2"/>
              <c:pt idx="0">
                <c:v>136</c:v>
              </c:pt>
              <c:pt idx="1">
                <c:v>136</c:v>
              </c:pt>
            </c:numLit>
          </c:yVal>
          <c:smooth val="0"/>
        </c:ser>
        <c:ser>
          <c:idx val="12"/>
          <c:order val="12"/>
          <c:tx>
            <c:v>Brace3</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-6</c:v>
              </c:pt>
              <c:pt idx="1">
                <c:v>6</c:v>
              </c:pt>
            </c:numLit>
          </c:xVal>
          <c:yVal>
            <c:numLit>
              <c:formatCode>General</c:formatCode>
              <c:ptCount val="2"/>
              <c:pt idx="0">
                <c:v>148</c:v>
              </c:pt>
              <c:pt idx="1">
                <c:v>148</c:v>
              </c:pt>
            </c:numLit>
          </c:yVal>
          <c:smooth val="0"/>
        </c:ser>
        <c:ser>
          <c:idx val="13"/>
          <c:order val="13"/>
          <c:tx>
            <c:v>Brace4</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6</c:v>
              </c:pt>
              <c:pt idx="1">
                <c:v>10</c:v>
              </c:pt>
            </c:numLit>
          </c:xVal>
          <c:yVal>
            <c:numLit>
              <c:formatCode>General</c:formatCode>
              <c:ptCount val="2"/>
              <c:pt idx="0">
                <c:v>124</c:v>
              </c:pt>
              <c:pt idx="1">
                <c:v>124</c:v>
              </c:pt>
            </c:numLit>
          </c:yVal>
          <c:smooth val="0"/>
        </c:ser>
        <c:ser>
          <c:idx val="14"/>
          <c:order val="14"/>
          <c:tx>
            <c:v>Brace5</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6</c:v>
              </c:pt>
              <c:pt idx="1">
                <c:v>10</c:v>
              </c:pt>
            </c:numLit>
          </c:xVal>
          <c:yVal>
            <c:numLit>
              <c:formatCode>General</c:formatCode>
              <c:ptCount val="2"/>
              <c:pt idx="0">
                <c:v>136</c:v>
              </c:pt>
              <c:pt idx="1">
                <c:v>136</c:v>
              </c:pt>
            </c:numLit>
          </c:yVal>
          <c:smooth val="0"/>
        </c:ser>
        <c:ser>
          <c:idx val="15"/>
          <c:order val="15"/>
          <c:tx>
            <c:v>Brace6</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6</c:v>
              </c:pt>
              <c:pt idx="1">
                <c:v>10</c:v>
              </c:pt>
            </c:numLit>
          </c:xVal>
          <c:yVal>
            <c:numLit>
              <c:formatCode>General</c:formatCode>
              <c:ptCount val="2"/>
              <c:pt idx="0">
                <c:v>148</c:v>
              </c:pt>
              <c:pt idx="1">
                <c:v>148</c:v>
              </c:pt>
            </c:numLit>
          </c:yVal>
          <c:smooth val="0"/>
        </c:ser>
        <c:ser>
          <c:idx val="16"/>
          <c:order val="16"/>
          <c:tx>
            <c:v>Brace7</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10</c:v>
              </c:pt>
              <c:pt idx="1">
                <c:v>12</c:v>
              </c:pt>
            </c:numLit>
          </c:xVal>
          <c:yVal>
            <c:numLit>
              <c:formatCode>General</c:formatCode>
              <c:ptCount val="2"/>
              <c:pt idx="0">
                <c:v>124</c:v>
              </c:pt>
              <c:pt idx="1">
                <c:v>124</c:v>
              </c:pt>
            </c:numLit>
          </c:yVal>
          <c:smooth val="0"/>
        </c:ser>
        <c:ser>
          <c:idx val="17"/>
          <c:order val="17"/>
          <c:tx>
            <c:v>Brace8</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10</c:v>
              </c:pt>
              <c:pt idx="1">
                <c:v>12</c:v>
              </c:pt>
            </c:numLit>
          </c:xVal>
          <c:yVal>
            <c:numLit>
              <c:formatCode>General</c:formatCode>
              <c:ptCount val="2"/>
              <c:pt idx="0">
                <c:v>136</c:v>
              </c:pt>
              <c:pt idx="1">
                <c:v>136</c:v>
              </c:pt>
            </c:numLit>
          </c:yVal>
          <c:smooth val="0"/>
        </c:ser>
        <c:ser>
          <c:idx val="18"/>
          <c:order val="18"/>
          <c:tx>
            <c:v>Brace9</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10</c:v>
              </c:pt>
              <c:pt idx="1">
                <c:v>12</c:v>
              </c:pt>
            </c:numLit>
          </c:xVal>
          <c:yVal>
            <c:numLit>
              <c:formatCode>General</c:formatCode>
              <c:ptCount val="2"/>
              <c:pt idx="0">
                <c:v>148</c:v>
              </c:pt>
              <c:pt idx="1">
                <c:v>148</c:v>
              </c:pt>
            </c:numLit>
          </c:yVal>
          <c:smooth val="0"/>
        </c:ser>
        <c:ser>
          <c:idx val="19"/>
          <c:order val="19"/>
          <c:tx>
            <c:v>Brace10</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12</c:v>
              </c:pt>
              <c:pt idx="1">
                <c:v>18</c:v>
              </c:pt>
            </c:numLit>
          </c:xVal>
          <c:yVal>
            <c:numLit>
              <c:formatCode>General</c:formatCode>
              <c:ptCount val="2"/>
              <c:pt idx="0">
                <c:v>124</c:v>
              </c:pt>
              <c:pt idx="1">
                <c:v>124</c:v>
              </c:pt>
            </c:numLit>
          </c:yVal>
          <c:smooth val="0"/>
        </c:ser>
        <c:ser>
          <c:idx val="20"/>
          <c:order val="20"/>
          <c:tx>
            <c:v>Brace11</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12</c:v>
              </c:pt>
              <c:pt idx="1">
                <c:v>18</c:v>
              </c:pt>
            </c:numLit>
          </c:xVal>
          <c:yVal>
            <c:numLit>
              <c:formatCode>General</c:formatCode>
              <c:ptCount val="2"/>
              <c:pt idx="0">
                <c:v>136</c:v>
              </c:pt>
              <c:pt idx="1">
                <c:v>136</c:v>
              </c:pt>
            </c:numLit>
          </c:yVal>
          <c:smooth val="0"/>
        </c:ser>
        <c:ser>
          <c:idx val="21"/>
          <c:order val="21"/>
          <c:tx>
            <c:v>Brace12</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12</c:v>
              </c:pt>
              <c:pt idx="1">
                <c:v>18</c:v>
              </c:pt>
            </c:numLit>
          </c:xVal>
          <c:yVal>
            <c:numLit>
              <c:formatCode>General</c:formatCode>
              <c:ptCount val="2"/>
              <c:pt idx="0">
                <c:v>148</c:v>
              </c:pt>
              <c:pt idx="1">
                <c:v>148</c:v>
              </c:pt>
            </c:numLit>
          </c:yVal>
          <c:smooth val="0"/>
        </c:ser>
        <c:ser>
          <c:idx val="22"/>
          <c:order val="22"/>
          <c:tx>
            <c:v>Brace13</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18</c:v>
              </c:pt>
              <c:pt idx="1">
                <c:v>22</c:v>
              </c:pt>
            </c:numLit>
          </c:xVal>
          <c:yVal>
            <c:numLit>
              <c:formatCode>General</c:formatCode>
              <c:ptCount val="2"/>
              <c:pt idx="0">
                <c:v>124</c:v>
              </c:pt>
              <c:pt idx="1">
                <c:v>124</c:v>
              </c:pt>
            </c:numLit>
          </c:yVal>
          <c:smooth val="0"/>
        </c:ser>
        <c:ser>
          <c:idx val="23"/>
          <c:order val="23"/>
          <c:tx>
            <c:v>Brace14</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18</c:v>
              </c:pt>
              <c:pt idx="1">
                <c:v>22</c:v>
              </c:pt>
            </c:numLit>
          </c:xVal>
          <c:yVal>
            <c:numLit>
              <c:formatCode>General</c:formatCode>
              <c:ptCount val="2"/>
              <c:pt idx="0">
                <c:v>136</c:v>
              </c:pt>
              <c:pt idx="1">
                <c:v>136</c:v>
              </c:pt>
            </c:numLit>
          </c:yVal>
          <c:smooth val="0"/>
        </c:ser>
        <c:ser>
          <c:idx val="24"/>
          <c:order val="24"/>
          <c:tx>
            <c:v>Brace15</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18</c:v>
              </c:pt>
              <c:pt idx="1">
                <c:v>22</c:v>
              </c:pt>
            </c:numLit>
          </c:xVal>
          <c:yVal>
            <c:numLit>
              <c:formatCode>General</c:formatCode>
              <c:ptCount val="2"/>
              <c:pt idx="0">
                <c:v>148</c:v>
              </c:pt>
              <c:pt idx="1">
                <c:v>148</c:v>
              </c:pt>
            </c:numLit>
          </c:yVal>
          <c:smooth val="0"/>
        </c:ser>
        <c:ser>
          <c:idx val="25"/>
          <c:order val="25"/>
          <c:tx>
            <c:v>Brace16</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22</c:v>
              </c:pt>
              <c:pt idx="1">
                <c:v>30</c:v>
              </c:pt>
            </c:numLit>
          </c:xVal>
          <c:yVal>
            <c:numLit>
              <c:formatCode>General</c:formatCode>
              <c:ptCount val="2"/>
              <c:pt idx="0">
                <c:v>124</c:v>
              </c:pt>
              <c:pt idx="1">
                <c:v>124</c:v>
              </c:pt>
            </c:numLit>
          </c:yVal>
          <c:smooth val="0"/>
        </c:ser>
        <c:ser>
          <c:idx val="26"/>
          <c:order val="26"/>
          <c:tx>
            <c:v>Brace17</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22</c:v>
              </c:pt>
              <c:pt idx="1">
                <c:v>30</c:v>
              </c:pt>
            </c:numLit>
          </c:xVal>
          <c:yVal>
            <c:numLit>
              <c:formatCode>General</c:formatCode>
              <c:ptCount val="2"/>
              <c:pt idx="0">
                <c:v>136</c:v>
              </c:pt>
              <c:pt idx="1">
                <c:v>136</c:v>
              </c:pt>
            </c:numLit>
          </c:yVal>
          <c:smooth val="0"/>
        </c:ser>
        <c:ser>
          <c:idx val="27"/>
          <c:order val="27"/>
          <c:tx>
            <c:v>Brace18</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22</c:v>
              </c:pt>
              <c:pt idx="1">
                <c:v>30</c:v>
              </c:pt>
            </c:numLit>
          </c:xVal>
          <c:yVal>
            <c:numLit>
              <c:formatCode>General</c:formatCode>
              <c:ptCount val="2"/>
              <c:pt idx="0">
                <c:v>148</c:v>
              </c:pt>
              <c:pt idx="1">
                <c:v>148</c:v>
              </c:pt>
            </c:numLit>
          </c:yVal>
          <c:smooth val="0"/>
        </c:ser>
        <c:ser>
          <c:idx val="28"/>
          <c:order val="28"/>
          <c:tx>
            <c:v>Brace19</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30</c:v>
              </c:pt>
              <c:pt idx="1">
                <c:v>32</c:v>
              </c:pt>
            </c:numLit>
          </c:xVal>
          <c:yVal>
            <c:numLit>
              <c:formatCode>General</c:formatCode>
              <c:ptCount val="2"/>
              <c:pt idx="0">
                <c:v>124</c:v>
              </c:pt>
              <c:pt idx="1">
                <c:v>124</c:v>
              </c:pt>
            </c:numLit>
          </c:yVal>
          <c:smooth val="0"/>
        </c:ser>
        <c:ser>
          <c:idx val="29"/>
          <c:order val="29"/>
          <c:tx>
            <c:v>Brace20</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30</c:v>
              </c:pt>
              <c:pt idx="1">
                <c:v>32</c:v>
              </c:pt>
            </c:numLit>
          </c:xVal>
          <c:yVal>
            <c:numLit>
              <c:formatCode>General</c:formatCode>
              <c:ptCount val="2"/>
              <c:pt idx="0">
                <c:v>136</c:v>
              </c:pt>
              <c:pt idx="1">
                <c:v>136</c:v>
              </c:pt>
            </c:numLit>
          </c:yVal>
          <c:smooth val="0"/>
        </c:ser>
        <c:ser>
          <c:idx val="30"/>
          <c:order val="30"/>
          <c:tx>
            <c:v>Brace21</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30</c:v>
              </c:pt>
              <c:pt idx="1">
                <c:v>32</c:v>
              </c:pt>
            </c:numLit>
          </c:xVal>
          <c:yVal>
            <c:numLit>
              <c:formatCode>General</c:formatCode>
              <c:ptCount val="2"/>
              <c:pt idx="0">
                <c:v>148</c:v>
              </c:pt>
              <c:pt idx="1">
                <c:v>148</c:v>
              </c:pt>
            </c:numLit>
          </c:yVal>
          <c:smooth val="0"/>
        </c:ser>
        <c:ser>
          <c:idx val="31"/>
          <c:order val="31"/>
          <c:tx>
            <c:v>Brace22</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32</c:v>
              </c:pt>
              <c:pt idx="1">
                <c:v>34</c:v>
              </c:pt>
            </c:numLit>
          </c:xVal>
          <c:yVal>
            <c:numLit>
              <c:formatCode>General</c:formatCode>
              <c:ptCount val="2"/>
              <c:pt idx="0">
                <c:v>124</c:v>
              </c:pt>
              <c:pt idx="1">
                <c:v>124</c:v>
              </c:pt>
            </c:numLit>
          </c:yVal>
          <c:smooth val="0"/>
        </c:ser>
        <c:ser>
          <c:idx val="32"/>
          <c:order val="32"/>
          <c:tx>
            <c:v>Brace23</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32</c:v>
              </c:pt>
              <c:pt idx="1">
                <c:v>34</c:v>
              </c:pt>
            </c:numLit>
          </c:xVal>
          <c:yVal>
            <c:numLit>
              <c:formatCode>General</c:formatCode>
              <c:ptCount val="2"/>
              <c:pt idx="0">
                <c:v>136</c:v>
              </c:pt>
              <c:pt idx="1">
                <c:v>136</c:v>
              </c:pt>
            </c:numLit>
          </c:yVal>
          <c:smooth val="0"/>
        </c:ser>
        <c:ser>
          <c:idx val="33"/>
          <c:order val="33"/>
          <c:tx>
            <c:v>Brace24</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32</c:v>
              </c:pt>
              <c:pt idx="1">
                <c:v>34</c:v>
              </c:pt>
            </c:numLit>
          </c:xVal>
          <c:yVal>
            <c:numLit>
              <c:formatCode>General</c:formatCode>
              <c:ptCount val="2"/>
              <c:pt idx="0">
                <c:v>148</c:v>
              </c:pt>
              <c:pt idx="1">
                <c:v>148</c:v>
              </c:pt>
            </c:numLit>
          </c:yVal>
          <c:smooth val="0"/>
        </c:ser>
        <c:ser>
          <c:idx val="34"/>
          <c:order val="34"/>
          <c:tx>
            <c:v>Brace25</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34</c:v>
              </c:pt>
              <c:pt idx="1">
                <c:v>42</c:v>
              </c:pt>
            </c:numLit>
          </c:xVal>
          <c:yVal>
            <c:numLit>
              <c:formatCode>General</c:formatCode>
              <c:ptCount val="2"/>
              <c:pt idx="0">
                <c:v>124</c:v>
              </c:pt>
              <c:pt idx="1">
                <c:v>124</c:v>
              </c:pt>
            </c:numLit>
          </c:yVal>
          <c:smooth val="0"/>
        </c:ser>
        <c:ser>
          <c:idx val="35"/>
          <c:order val="35"/>
          <c:tx>
            <c:v>Brace26</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34</c:v>
              </c:pt>
              <c:pt idx="1">
                <c:v>42</c:v>
              </c:pt>
            </c:numLit>
          </c:xVal>
          <c:yVal>
            <c:numLit>
              <c:formatCode>General</c:formatCode>
              <c:ptCount val="2"/>
              <c:pt idx="0">
                <c:v>136</c:v>
              </c:pt>
              <c:pt idx="1">
                <c:v>136</c:v>
              </c:pt>
            </c:numLit>
          </c:yVal>
          <c:smooth val="0"/>
        </c:ser>
        <c:ser>
          <c:idx val="36"/>
          <c:order val="36"/>
          <c:tx>
            <c:v>Brace27</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34</c:v>
              </c:pt>
              <c:pt idx="1">
                <c:v>42</c:v>
              </c:pt>
            </c:numLit>
          </c:xVal>
          <c:yVal>
            <c:numLit>
              <c:formatCode>General</c:formatCode>
              <c:ptCount val="2"/>
              <c:pt idx="0">
                <c:v>148</c:v>
              </c:pt>
              <c:pt idx="1">
                <c:v>148</c:v>
              </c:pt>
            </c:numLit>
          </c:yVal>
          <c:smooth val="0"/>
        </c:ser>
        <c:ser>
          <c:idx val="37"/>
          <c:order val="37"/>
          <c:tx>
            <c:v>Brace28</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18</c:v>
              </c:pt>
              <c:pt idx="1">
                <c:v>22</c:v>
              </c:pt>
            </c:numLit>
          </c:xVal>
          <c:yVal>
            <c:numLit>
              <c:formatCode>General</c:formatCode>
              <c:ptCount val="2"/>
              <c:pt idx="0">
                <c:v>124</c:v>
              </c:pt>
              <c:pt idx="1">
                <c:v>136</c:v>
              </c:pt>
            </c:numLit>
          </c:yVal>
          <c:smooth val="0"/>
        </c:ser>
        <c:ser>
          <c:idx val="38"/>
          <c:order val="38"/>
          <c:tx>
            <c:v>Brace29</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18</c:v>
              </c:pt>
              <c:pt idx="1">
                <c:v>22</c:v>
              </c:pt>
            </c:numLit>
          </c:xVal>
          <c:yVal>
            <c:numLit>
              <c:formatCode>General</c:formatCode>
              <c:ptCount val="2"/>
              <c:pt idx="0">
                <c:v>136</c:v>
              </c:pt>
              <c:pt idx="1">
                <c:v>148</c:v>
              </c:pt>
            </c:numLit>
          </c:yVal>
          <c:smooth val="0"/>
        </c:ser>
        <c:ser>
          <c:idx val="39"/>
          <c:order val="39"/>
          <c:tx>
            <c:v>Brace30</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32</c:v>
              </c:pt>
              <c:pt idx="1">
                <c:v>34</c:v>
              </c:pt>
            </c:numLit>
          </c:xVal>
          <c:yVal>
            <c:numLit>
              <c:formatCode>General</c:formatCode>
              <c:ptCount val="2"/>
              <c:pt idx="0">
                <c:v>124</c:v>
              </c:pt>
              <c:pt idx="1">
                <c:v>136</c:v>
              </c:pt>
            </c:numLit>
          </c:yVal>
          <c:smooth val="0"/>
        </c:ser>
        <c:ser>
          <c:idx val="40"/>
          <c:order val="40"/>
          <c:tx>
            <c:v>Brace31</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32</c:v>
              </c:pt>
              <c:pt idx="1">
                <c:v>34</c:v>
              </c:pt>
            </c:numLit>
          </c:xVal>
          <c:yVal>
            <c:numLit>
              <c:formatCode>General</c:formatCode>
              <c:ptCount val="2"/>
              <c:pt idx="0">
                <c:v>136</c:v>
              </c:pt>
              <c:pt idx="1">
                <c:v>148</c:v>
              </c:pt>
            </c:numLit>
          </c:yVal>
          <c:smooth val="0"/>
        </c:ser>
        <c:ser>
          <c:idx val="41"/>
          <c:order val="41"/>
          <c:tx>
            <c:v>Brace32</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6</c:v>
              </c:pt>
              <c:pt idx="1">
                <c:v>10</c:v>
              </c:pt>
            </c:numLit>
          </c:xVal>
          <c:yVal>
            <c:numLit>
              <c:formatCode>General</c:formatCode>
              <c:ptCount val="2"/>
              <c:pt idx="0">
                <c:v>136</c:v>
              </c:pt>
              <c:pt idx="1">
                <c:v>124</c:v>
              </c:pt>
            </c:numLit>
          </c:yVal>
          <c:smooth val="0"/>
        </c:ser>
        <c:ser>
          <c:idx val="42"/>
          <c:order val="42"/>
          <c:tx>
            <c:v>Brace33</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6</c:v>
              </c:pt>
              <c:pt idx="1">
                <c:v>10</c:v>
              </c:pt>
            </c:numLit>
          </c:xVal>
          <c:yVal>
            <c:numLit>
              <c:formatCode>General</c:formatCode>
              <c:ptCount val="2"/>
              <c:pt idx="0">
                <c:v>148</c:v>
              </c:pt>
              <c:pt idx="1">
                <c:v>136</c:v>
              </c:pt>
            </c:numLit>
          </c:yVal>
          <c:smooth val="0"/>
        </c:ser>
        <c:ser>
          <c:idx val="43"/>
          <c:order val="43"/>
          <c:tx>
            <c:v>Brace34</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18</c:v>
              </c:pt>
              <c:pt idx="1">
                <c:v>22</c:v>
              </c:pt>
            </c:numLit>
          </c:xVal>
          <c:yVal>
            <c:numLit>
              <c:formatCode>General</c:formatCode>
              <c:ptCount val="2"/>
              <c:pt idx="0">
                <c:v>136</c:v>
              </c:pt>
              <c:pt idx="1">
                <c:v>124</c:v>
              </c:pt>
            </c:numLit>
          </c:yVal>
          <c:smooth val="0"/>
        </c:ser>
        <c:ser>
          <c:idx val="44"/>
          <c:order val="44"/>
          <c:tx>
            <c:v>Brace35</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18</c:v>
              </c:pt>
              <c:pt idx="1">
                <c:v>22</c:v>
              </c:pt>
            </c:numLit>
          </c:xVal>
          <c:yVal>
            <c:numLit>
              <c:formatCode>General</c:formatCode>
              <c:ptCount val="2"/>
              <c:pt idx="0">
                <c:v>148</c:v>
              </c:pt>
              <c:pt idx="1">
                <c:v>136</c:v>
              </c:pt>
            </c:numLit>
          </c:yVal>
          <c:smooth val="0"/>
        </c:ser>
        <c:ser>
          <c:idx val="45"/>
          <c:order val="45"/>
          <c:tx>
            <c:v>Brace36</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30</c:v>
              </c:pt>
              <c:pt idx="1">
                <c:v>32</c:v>
              </c:pt>
            </c:numLit>
          </c:xVal>
          <c:yVal>
            <c:numLit>
              <c:formatCode>General</c:formatCode>
              <c:ptCount val="2"/>
              <c:pt idx="0">
                <c:v>136</c:v>
              </c:pt>
              <c:pt idx="1">
                <c:v>124</c:v>
              </c:pt>
            </c:numLit>
          </c:yVal>
          <c:smooth val="0"/>
        </c:ser>
        <c:ser>
          <c:idx val="46"/>
          <c:order val="46"/>
          <c:tx>
            <c:v>Brace37</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30</c:v>
              </c:pt>
              <c:pt idx="1">
                <c:v>32</c:v>
              </c:pt>
            </c:numLit>
          </c:xVal>
          <c:yVal>
            <c:numLit>
              <c:formatCode>General</c:formatCode>
              <c:ptCount val="2"/>
              <c:pt idx="0">
                <c:v>148</c:v>
              </c:pt>
              <c:pt idx="1">
                <c:v>136</c:v>
              </c:pt>
            </c:numLit>
          </c:yVal>
          <c:smooth val="0"/>
        </c:ser>
        <c:dLbls>
          <c:showLegendKey val="0"/>
          <c:showVal val="0"/>
          <c:showCatName val="0"/>
          <c:showSerName val="0"/>
          <c:showPercent val="0"/>
          <c:showBubbleSize val="0"/>
        </c:dLbls>
        <c:axId val="162797056"/>
        <c:axId val="162257920"/>
      </c:scatterChart>
      <c:valAx>
        <c:axId val="162797056"/>
        <c:scaling>
          <c:orientation val="minMax"/>
          <c:max val="60"/>
          <c:min val="-20"/>
        </c:scaling>
        <c:delete val="0"/>
        <c:axPos val="b"/>
        <c:title>
          <c:tx>
            <c:rich>
              <a:bodyPr/>
              <a:lstStyle/>
              <a:p>
                <a:pPr>
                  <a:defRPr/>
                </a:pPr>
                <a:r>
                  <a:rPr lang="nb-NO"/>
                  <a:t>X Axis</a:t>
                </a:r>
              </a:p>
            </c:rich>
          </c:tx>
          <c:layout/>
          <c:overlay val="0"/>
        </c:title>
        <c:numFmt formatCode="General" sourceLinked="1"/>
        <c:majorTickMark val="out"/>
        <c:minorTickMark val="none"/>
        <c:tickLblPos val="nextTo"/>
        <c:crossAx val="162257920"/>
        <c:crosses val="autoZero"/>
        <c:crossBetween val="midCat"/>
      </c:valAx>
      <c:valAx>
        <c:axId val="162257920"/>
        <c:scaling>
          <c:orientation val="minMax"/>
          <c:max val="150"/>
          <c:min val="110"/>
        </c:scaling>
        <c:delete val="0"/>
        <c:axPos val="l"/>
        <c:title>
          <c:tx>
            <c:rich>
              <a:bodyPr/>
              <a:lstStyle/>
              <a:p>
                <a:pPr>
                  <a:defRPr/>
                </a:pPr>
                <a:r>
                  <a:rPr lang="nb-NO"/>
                  <a:t>Z Axis</a:t>
                </a:r>
              </a:p>
            </c:rich>
          </c:tx>
          <c:layout/>
          <c:overlay val="0"/>
        </c:title>
        <c:numFmt formatCode="General" sourceLinked="1"/>
        <c:majorTickMark val="out"/>
        <c:minorTickMark val="none"/>
        <c:tickLblPos val="nextTo"/>
        <c:crossAx val="162797056"/>
        <c:crosses val="autoZero"/>
        <c:crossBetween val="midCat"/>
      </c:valAx>
      <c:spPr>
        <a:solidFill>
          <a:srgbClr val="CCFFFF"/>
        </a:solidFill>
      </c:spPr>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nb-NO"/>
              <a:t>YZ Plot</a:t>
            </a:r>
          </a:p>
        </c:rich>
      </c:tx>
      <c:layout/>
      <c:overlay val="0"/>
    </c:title>
    <c:autoTitleDeleted val="0"/>
    <c:plotArea>
      <c:layout>
        <c:manualLayout>
          <c:xMode val="edge"/>
          <c:yMode val="edge"/>
          <c:x val="2.8011204481792718E-2"/>
          <c:y val="8.3989501312335957E-2"/>
          <c:w val="0.97198879551820727"/>
          <c:h val="0.81461053588773846"/>
        </c:manualLayout>
      </c:layout>
      <c:scatterChart>
        <c:scatterStyle val="lineMarker"/>
        <c:varyColors val="0"/>
        <c:ser>
          <c:idx val="0"/>
          <c:order val="0"/>
          <c:tx>
            <c:v>Leg1</c:v>
          </c:tx>
          <c:spPr>
            <a:ln w="38100">
              <a:solidFill>
                <a:srgbClr val="000000"/>
              </a:solidFill>
              <a:prstDash val="solid"/>
            </a:ln>
          </c:spPr>
          <c:marker>
            <c:symbol val="circle"/>
            <c:size val="6"/>
            <c:spPr>
              <a:solidFill>
                <a:srgbClr val="00E1E1"/>
              </a:solidFill>
              <a:ln>
                <a:solidFill>
                  <a:srgbClr val="000000"/>
                </a:solidFill>
                <a:prstDash val="solid"/>
              </a:ln>
            </c:spPr>
          </c:marker>
          <c:dLbls>
            <c:dLbl>
              <c:idx val="0"/>
              <c:layout/>
              <c:tx>
                <c:rich>
                  <a:bodyPr/>
                  <a:lstStyle/>
                  <a:p>
                    <a:r>
                      <a:rPr lang="nb-NO"/>
                      <a:t>A</a:t>
                    </a:r>
                  </a:p>
                </c:rich>
              </c:tx>
              <c:showLegendKey val="0"/>
              <c:showVal val="1"/>
              <c:showCatName val="0"/>
              <c:showSerName val="0"/>
              <c:showPercent val="0"/>
              <c:showBubbleSize val="0"/>
            </c:dLbl>
            <c:showLegendKey val="0"/>
            <c:showVal val="0"/>
            <c:showCatName val="0"/>
            <c:showSerName val="0"/>
            <c:showPercent val="0"/>
            <c:showBubbleSize val="0"/>
          </c:dLbls>
          <c:xVal>
            <c:numLit>
              <c:formatCode>General</c:formatCode>
              <c:ptCount val="2"/>
              <c:pt idx="0">
                <c:v>5</c:v>
              </c:pt>
              <c:pt idx="1">
                <c:v>5</c:v>
              </c:pt>
            </c:numLit>
          </c:xVal>
          <c:yVal>
            <c:numLit>
              <c:formatCode>General</c:formatCode>
              <c:ptCount val="2"/>
              <c:pt idx="0">
                <c:v>120</c:v>
              </c:pt>
              <c:pt idx="1">
                <c:v>148</c:v>
              </c:pt>
            </c:numLit>
          </c:yVal>
          <c:smooth val="0"/>
        </c:ser>
        <c:ser>
          <c:idx val="1"/>
          <c:order val="1"/>
          <c:tx>
            <c:v>Leg2</c:v>
          </c:tx>
          <c:spPr>
            <a:ln w="38100">
              <a:solidFill>
                <a:srgbClr val="000000"/>
              </a:solidFill>
              <a:prstDash val="solid"/>
            </a:ln>
          </c:spPr>
          <c:marker>
            <c:symbol val="circle"/>
            <c:size val="6"/>
            <c:spPr>
              <a:solidFill>
                <a:srgbClr val="FF0000"/>
              </a:solidFill>
              <a:ln>
                <a:solidFill>
                  <a:srgbClr val="000000"/>
                </a:solidFill>
                <a:prstDash val="solid"/>
              </a:ln>
            </c:spPr>
          </c:marker>
          <c:dLbls>
            <c:dLbl>
              <c:idx val="0"/>
              <c:layout/>
              <c:tx>
                <c:rich>
                  <a:bodyPr/>
                  <a:lstStyle/>
                  <a:p>
                    <a:r>
                      <a:rPr lang="nb-NO"/>
                      <a:t>B</a:t>
                    </a:r>
                  </a:p>
                </c:rich>
              </c:tx>
              <c:showLegendKey val="0"/>
              <c:showVal val="1"/>
              <c:showCatName val="0"/>
              <c:showSerName val="0"/>
              <c:showPercent val="0"/>
              <c:showBubbleSize val="0"/>
            </c:dLbl>
            <c:dLbl>
              <c:idx val="1"/>
              <c:layout/>
              <c:tx>
                <c:rich>
                  <a:bodyPr rot="-5400000" vert="horz"/>
                  <a:lstStyle/>
                  <a:p>
                    <a:pPr>
                      <a:defRPr/>
                    </a:pPr>
                    <a:r>
                      <a:rPr lang="nb-NO"/>
                      <a:t>No Beam</a:t>
                    </a:r>
                  </a:p>
                </c:rich>
              </c:tx>
              <c:spPr/>
              <c:dLblPos val="t"/>
              <c:showLegendKey val="0"/>
              <c:showVal val="1"/>
              <c:showCatName val="0"/>
              <c:showSerName val="0"/>
              <c:showPercent val="0"/>
              <c:showBubbleSize val="0"/>
            </c:dLbl>
            <c:showLegendKey val="0"/>
            <c:showVal val="0"/>
            <c:showCatName val="0"/>
            <c:showSerName val="0"/>
            <c:showPercent val="0"/>
            <c:showBubbleSize val="0"/>
          </c:dLbls>
          <c:xVal>
            <c:numLit>
              <c:formatCode>General</c:formatCode>
              <c:ptCount val="2"/>
              <c:pt idx="0">
                <c:v>13</c:v>
              </c:pt>
              <c:pt idx="1">
                <c:v>13</c:v>
              </c:pt>
            </c:numLit>
          </c:xVal>
          <c:yVal>
            <c:numLit>
              <c:formatCode>General</c:formatCode>
              <c:ptCount val="2"/>
              <c:pt idx="0">
                <c:v>120</c:v>
              </c:pt>
              <c:pt idx="1">
                <c:v>148</c:v>
              </c:pt>
            </c:numLit>
          </c:yVal>
          <c:smooth val="0"/>
        </c:ser>
        <c:ser>
          <c:idx val="2"/>
          <c:order val="2"/>
          <c:tx>
            <c:v>Leg3</c:v>
          </c:tx>
          <c:spPr>
            <a:ln w="38100">
              <a:solidFill>
                <a:srgbClr val="000000"/>
              </a:solidFill>
              <a:prstDash val="solid"/>
            </a:ln>
          </c:spPr>
          <c:marker>
            <c:symbol val="circle"/>
            <c:size val="6"/>
            <c:spPr>
              <a:solidFill>
                <a:srgbClr val="00E1E1"/>
              </a:solidFill>
              <a:ln>
                <a:solidFill>
                  <a:srgbClr val="000000"/>
                </a:solidFill>
                <a:prstDash val="solid"/>
              </a:ln>
            </c:spPr>
          </c:marker>
          <c:dLbls>
            <c:dLbl>
              <c:idx val="0"/>
              <c:layout/>
              <c:tx>
                <c:rich>
                  <a:bodyPr/>
                  <a:lstStyle/>
                  <a:p>
                    <a:r>
                      <a:rPr lang="nb-NO"/>
                      <a:t>C</a:t>
                    </a:r>
                  </a:p>
                </c:rich>
              </c:tx>
              <c:showLegendKey val="0"/>
              <c:showVal val="1"/>
              <c:showCatName val="0"/>
              <c:showSerName val="0"/>
              <c:showPercent val="0"/>
              <c:showBubbleSize val="0"/>
            </c:dLbl>
            <c:showLegendKey val="0"/>
            <c:showVal val="0"/>
            <c:showCatName val="0"/>
            <c:showSerName val="0"/>
            <c:showPercent val="0"/>
            <c:showBubbleSize val="0"/>
          </c:dLbls>
          <c:xVal>
            <c:numLit>
              <c:formatCode>General</c:formatCode>
              <c:ptCount val="2"/>
              <c:pt idx="0">
                <c:v>17</c:v>
              </c:pt>
              <c:pt idx="1">
                <c:v>17</c:v>
              </c:pt>
            </c:numLit>
          </c:xVal>
          <c:yVal>
            <c:numLit>
              <c:formatCode>General</c:formatCode>
              <c:ptCount val="2"/>
              <c:pt idx="0">
                <c:v>120</c:v>
              </c:pt>
              <c:pt idx="1">
                <c:v>148</c:v>
              </c:pt>
            </c:numLit>
          </c:yVal>
          <c:smooth val="0"/>
        </c:ser>
        <c:ser>
          <c:idx val="3"/>
          <c:order val="3"/>
          <c:tx>
            <c:v>Leg4</c:v>
          </c:tx>
          <c:spPr>
            <a:ln w="12700">
              <a:solidFill>
                <a:srgbClr val="000000"/>
              </a:solidFill>
              <a:prstDash val="solid"/>
            </a:ln>
          </c:spPr>
          <c:marker>
            <c:symbol val="circle"/>
            <c:size val="6"/>
            <c:spPr>
              <a:solidFill>
                <a:srgbClr val="FF0000"/>
              </a:solidFill>
              <a:ln>
                <a:solidFill>
                  <a:srgbClr val="000000"/>
                </a:solidFill>
                <a:prstDash val="solid"/>
              </a:ln>
            </c:spPr>
          </c:marker>
          <c:dLbls>
            <c:dLbl>
              <c:idx val="0"/>
              <c:layout/>
              <c:tx>
                <c:rich>
                  <a:bodyPr/>
                  <a:lstStyle/>
                  <a:p>
                    <a:r>
                      <a:rPr lang="nb-NO"/>
                      <a:t>D</a:t>
                    </a:r>
                  </a:p>
                </c:rich>
              </c:tx>
              <c:showLegendKey val="0"/>
              <c:showVal val="1"/>
              <c:showCatName val="0"/>
              <c:showSerName val="0"/>
              <c:showPercent val="0"/>
              <c:showBubbleSize val="0"/>
            </c:dLbl>
            <c:dLbl>
              <c:idx val="1"/>
              <c:layout/>
              <c:tx>
                <c:rich>
                  <a:bodyPr rot="-5400000" vert="horz"/>
                  <a:lstStyle/>
                  <a:p>
                    <a:pPr>
                      <a:defRPr/>
                    </a:pPr>
                    <a:r>
                      <a:rPr lang="nb-NO"/>
                      <a:t>No Beam</a:t>
                    </a:r>
                  </a:p>
                </c:rich>
              </c:tx>
              <c:spPr/>
              <c:dLblPos val="t"/>
              <c:showLegendKey val="0"/>
              <c:showVal val="1"/>
              <c:showCatName val="0"/>
              <c:showSerName val="0"/>
              <c:showPercent val="0"/>
              <c:showBubbleSize val="0"/>
            </c:dLbl>
            <c:showLegendKey val="0"/>
            <c:showVal val="0"/>
            <c:showCatName val="0"/>
            <c:showSerName val="0"/>
            <c:showPercent val="0"/>
            <c:showBubbleSize val="0"/>
          </c:dLbls>
          <c:xVal>
            <c:numLit>
              <c:formatCode>General</c:formatCode>
              <c:ptCount val="2"/>
              <c:pt idx="0">
                <c:v>19</c:v>
              </c:pt>
              <c:pt idx="1">
                <c:v>19</c:v>
              </c:pt>
            </c:numLit>
          </c:xVal>
          <c:yVal>
            <c:numLit>
              <c:formatCode>General</c:formatCode>
              <c:ptCount val="2"/>
              <c:pt idx="0">
                <c:v>120</c:v>
              </c:pt>
              <c:pt idx="1">
                <c:v>148</c:v>
              </c:pt>
            </c:numLit>
          </c:yVal>
          <c:smooth val="0"/>
        </c:ser>
        <c:ser>
          <c:idx val="4"/>
          <c:order val="4"/>
          <c:tx>
            <c:v>Leg5</c:v>
          </c:tx>
          <c:spPr>
            <a:ln w="12700">
              <a:solidFill>
                <a:srgbClr val="000000"/>
              </a:solidFill>
              <a:prstDash val="solid"/>
            </a:ln>
          </c:spPr>
          <c:marker>
            <c:symbol val="circle"/>
            <c:size val="6"/>
            <c:spPr>
              <a:solidFill>
                <a:srgbClr val="FF0000"/>
              </a:solidFill>
              <a:ln>
                <a:solidFill>
                  <a:srgbClr val="000000"/>
                </a:solidFill>
                <a:prstDash val="solid"/>
              </a:ln>
            </c:spPr>
          </c:marker>
          <c:dLbls>
            <c:dLbl>
              <c:idx val="0"/>
              <c:layout/>
              <c:tx>
                <c:rich>
                  <a:bodyPr/>
                  <a:lstStyle/>
                  <a:p>
                    <a:r>
                      <a:rPr lang="nb-NO"/>
                      <a:t>E</a:t>
                    </a:r>
                  </a:p>
                </c:rich>
              </c:tx>
              <c:showLegendKey val="0"/>
              <c:showVal val="1"/>
              <c:showCatName val="0"/>
              <c:showSerName val="0"/>
              <c:showPercent val="0"/>
              <c:showBubbleSize val="0"/>
            </c:dLbl>
            <c:dLbl>
              <c:idx val="1"/>
              <c:layout/>
              <c:tx>
                <c:rich>
                  <a:bodyPr rot="-5400000" vert="horz"/>
                  <a:lstStyle/>
                  <a:p>
                    <a:pPr>
                      <a:defRPr/>
                    </a:pPr>
                    <a:r>
                      <a:rPr lang="nb-NO"/>
                      <a:t>No Beam</a:t>
                    </a:r>
                  </a:p>
                </c:rich>
              </c:tx>
              <c:spPr/>
              <c:dLblPos val="t"/>
              <c:showLegendKey val="0"/>
              <c:showVal val="1"/>
              <c:showCatName val="0"/>
              <c:showSerName val="0"/>
              <c:showPercent val="0"/>
              <c:showBubbleSize val="0"/>
            </c:dLbl>
            <c:showLegendKey val="0"/>
            <c:showVal val="0"/>
            <c:showCatName val="0"/>
            <c:showSerName val="0"/>
            <c:showPercent val="0"/>
            <c:showBubbleSize val="0"/>
          </c:dLbls>
          <c:xVal>
            <c:numLit>
              <c:formatCode>General</c:formatCode>
              <c:ptCount val="2"/>
              <c:pt idx="0">
                <c:v>21</c:v>
              </c:pt>
              <c:pt idx="1">
                <c:v>21</c:v>
              </c:pt>
            </c:numLit>
          </c:xVal>
          <c:yVal>
            <c:numLit>
              <c:formatCode>General</c:formatCode>
              <c:ptCount val="2"/>
              <c:pt idx="0">
                <c:v>120</c:v>
              </c:pt>
              <c:pt idx="1">
                <c:v>148</c:v>
              </c:pt>
            </c:numLit>
          </c:yVal>
          <c:smooth val="0"/>
        </c:ser>
        <c:ser>
          <c:idx val="5"/>
          <c:order val="5"/>
          <c:tx>
            <c:v>Leg6</c:v>
          </c:tx>
          <c:spPr>
            <a:ln w="38100">
              <a:solidFill>
                <a:srgbClr val="000000"/>
              </a:solidFill>
              <a:prstDash val="solid"/>
            </a:ln>
          </c:spPr>
          <c:marker>
            <c:symbol val="circle"/>
            <c:size val="6"/>
            <c:spPr>
              <a:solidFill>
                <a:srgbClr val="00E1E1"/>
              </a:solidFill>
              <a:ln>
                <a:solidFill>
                  <a:srgbClr val="000000"/>
                </a:solidFill>
                <a:prstDash val="solid"/>
              </a:ln>
            </c:spPr>
          </c:marker>
          <c:dLbls>
            <c:dLbl>
              <c:idx val="0"/>
              <c:layout/>
              <c:tx>
                <c:rich>
                  <a:bodyPr/>
                  <a:lstStyle/>
                  <a:p>
                    <a:r>
                      <a:rPr lang="nb-NO"/>
                      <a:t>F</a:t>
                    </a:r>
                  </a:p>
                </c:rich>
              </c:tx>
              <c:showLegendKey val="0"/>
              <c:showVal val="1"/>
              <c:showCatName val="0"/>
              <c:showSerName val="0"/>
              <c:showPercent val="0"/>
              <c:showBubbleSize val="0"/>
            </c:dLbl>
            <c:showLegendKey val="0"/>
            <c:showVal val="0"/>
            <c:showCatName val="0"/>
            <c:showSerName val="0"/>
            <c:showPercent val="0"/>
            <c:showBubbleSize val="0"/>
          </c:dLbls>
          <c:xVal>
            <c:numLit>
              <c:formatCode>General</c:formatCode>
              <c:ptCount val="2"/>
              <c:pt idx="0">
                <c:v>25</c:v>
              </c:pt>
              <c:pt idx="1">
                <c:v>25</c:v>
              </c:pt>
            </c:numLit>
          </c:xVal>
          <c:yVal>
            <c:numLit>
              <c:formatCode>General</c:formatCode>
              <c:ptCount val="2"/>
              <c:pt idx="0">
                <c:v>120</c:v>
              </c:pt>
              <c:pt idx="1">
                <c:v>148</c:v>
              </c:pt>
            </c:numLit>
          </c:yVal>
          <c:smooth val="0"/>
        </c:ser>
        <c:ser>
          <c:idx val="6"/>
          <c:order val="6"/>
          <c:tx>
            <c:v>Leg7</c:v>
          </c:tx>
          <c:spPr>
            <a:ln w="38100">
              <a:solidFill>
                <a:srgbClr val="000000"/>
              </a:solidFill>
              <a:prstDash val="solid"/>
            </a:ln>
          </c:spPr>
          <c:marker>
            <c:symbol val="circle"/>
            <c:size val="6"/>
            <c:spPr>
              <a:solidFill>
                <a:srgbClr val="FF0000"/>
              </a:solidFill>
              <a:ln>
                <a:solidFill>
                  <a:srgbClr val="000000"/>
                </a:solidFill>
                <a:prstDash val="solid"/>
              </a:ln>
            </c:spPr>
          </c:marker>
          <c:dLbls>
            <c:dLbl>
              <c:idx val="0"/>
              <c:layout/>
              <c:tx>
                <c:rich>
                  <a:bodyPr/>
                  <a:lstStyle/>
                  <a:p>
                    <a:r>
                      <a:rPr lang="nb-NO"/>
                      <a:t>G</a:t>
                    </a:r>
                  </a:p>
                </c:rich>
              </c:tx>
              <c:showLegendKey val="0"/>
              <c:showVal val="1"/>
              <c:showCatName val="0"/>
              <c:showSerName val="0"/>
              <c:showPercent val="0"/>
              <c:showBubbleSize val="0"/>
            </c:dLbl>
            <c:dLbl>
              <c:idx val="1"/>
              <c:layout/>
              <c:tx>
                <c:rich>
                  <a:bodyPr rot="-5400000" vert="horz"/>
                  <a:lstStyle/>
                  <a:p>
                    <a:pPr>
                      <a:defRPr/>
                    </a:pPr>
                    <a:r>
                      <a:rPr lang="nb-NO"/>
                      <a:t>No Beam</a:t>
                    </a:r>
                  </a:p>
                </c:rich>
              </c:tx>
              <c:spPr/>
              <c:dLblPos val="t"/>
              <c:showLegendKey val="0"/>
              <c:showVal val="1"/>
              <c:showCatName val="0"/>
              <c:showSerName val="0"/>
              <c:showPercent val="0"/>
              <c:showBubbleSize val="0"/>
            </c:dLbl>
            <c:showLegendKey val="0"/>
            <c:showVal val="0"/>
            <c:showCatName val="0"/>
            <c:showSerName val="0"/>
            <c:showPercent val="0"/>
            <c:showBubbleSize val="0"/>
          </c:dLbls>
          <c:xVal>
            <c:numLit>
              <c:formatCode>General</c:formatCode>
              <c:ptCount val="2"/>
              <c:pt idx="0">
                <c:v>29</c:v>
              </c:pt>
              <c:pt idx="1">
                <c:v>29</c:v>
              </c:pt>
            </c:numLit>
          </c:xVal>
          <c:yVal>
            <c:numLit>
              <c:formatCode>General</c:formatCode>
              <c:ptCount val="2"/>
              <c:pt idx="0">
                <c:v>120</c:v>
              </c:pt>
              <c:pt idx="1">
                <c:v>148</c:v>
              </c:pt>
            </c:numLit>
          </c:yVal>
          <c:smooth val="0"/>
        </c:ser>
        <c:ser>
          <c:idx val="7"/>
          <c:order val="7"/>
          <c:tx>
            <c:v>Leg8</c:v>
          </c:tx>
          <c:spPr>
            <a:ln w="38100">
              <a:solidFill>
                <a:srgbClr val="000000"/>
              </a:solidFill>
              <a:prstDash val="solid"/>
            </a:ln>
          </c:spPr>
          <c:marker>
            <c:symbol val="circle"/>
            <c:size val="6"/>
            <c:spPr>
              <a:solidFill>
                <a:srgbClr val="00E1E1"/>
              </a:solidFill>
              <a:ln>
                <a:solidFill>
                  <a:srgbClr val="000000"/>
                </a:solidFill>
                <a:prstDash val="solid"/>
              </a:ln>
            </c:spPr>
          </c:marker>
          <c:dLbls>
            <c:dLbl>
              <c:idx val="0"/>
              <c:layout/>
              <c:tx>
                <c:rich>
                  <a:bodyPr/>
                  <a:lstStyle/>
                  <a:p>
                    <a:r>
                      <a:rPr lang="nb-NO"/>
                      <a:t>H</a:t>
                    </a:r>
                  </a:p>
                </c:rich>
              </c:tx>
              <c:showLegendKey val="0"/>
              <c:showVal val="1"/>
              <c:showCatName val="0"/>
              <c:showSerName val="0"/>
              <c:showPercent val="0"/>
              <c:showBubbleSize val="0"/>
            </c:dLbl>
            <c:showLegendKey val="0"/>
            <c:showVal val="0"/>
            <c:showCatName val="0"/>
            <c:showSerName val="0"/>
            <c:showPercent val="0"/>
            <c:showBubbleSize val="0"/>
          </c:dLbls>
          <c:xVal>
            <c:numLit>
              <c:formatCode>General</c:formatCode>
              <c:ptCount val="2"/>
              <c:pt idx="0">
                <c:v>37</c:v>
              </c:pt>
              <c:pt idx="1">
                <c:v>37</c:v>
              </c:pt>
            </c:numLit>
          </c:xVal>
          <c:yVal>
            <c:numLit>
              <c:formatCode>General</c:formatCode>
              <c:ptCount val="2"/>
              <c:pt idx="0">
                <c:v>120</c:v>
              </c:pt>
              <c:pt idx="1">
                <c:v>148</c:v>
              </c:pt>
            </c:numLit>
          </c:yVal>
          <c:smooth val="0"/>
        </c:ser>
        <c:ser>
          <c:idx val="8"/>
          <c:order val="8"/>
          <c:tx>
            <c:v>Brace1</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5</c:v>
              </c:pt>
              <c:pt idx="1">
                <c:v>13</c:v>
              </c:pt>
            </c:numLit>
          </c:xVal>
          <c:yVal>
            <c:numLit>
              <c:formatCode>General</c:formatCode>
              <c:ptCount val="2"/>
              <c:pt idx="0">
                <c:v>124</c:v>
              </c:pt>
              <c:pt idx="1">
                <c:v>124</c:v>
              </c:pt>
            </c:numLit>
          </c:yVal>
          <c:smooth val="0"/>
        </c:ser>
        <c:ser>
          <c:idx val="9"/>
          <c:order val="9"/>
          <c:tx>
            <c:v>Brace2</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5</c:v>
              </c:pt>
              <c:pt idx="1">
                <c:v>13</c:v>
              </c:pt>
            </c:numLit>
          </c:xVal>
          <c:yVal>
            <c:numLit>
              <c:formatCode>General</c:formatCode>
              <c:ptCount val="2"/>
              <c:pt idx="0">
                <c:v>136</c:v>
              </c:pt>
              <c:pt idx="1">
                <c:v>136</c:v>
              </c:pt>
            </c:numLit>
          </c:yVal>
          <c:smooth val="0"/>
        </c:ser>
        <c:ser>
          <c:idx val="10"/>
          <c:order val="10"/>
          <c:tx>
            <c:v>Brace3</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5</c:v>
              </c:pt>
              <c:pt idx="1">
                <c:v>13</c:v>
              </c:pt>
            </c:numLit>
          </c:xVal>
          <c:yVal>
            <c:numLit>
              <c:formatCode>General</c:formatCode>
              <c:ptCount val="2"/>
              <c:pt idx="0">
                <c:v>148</c:v>
              </c:pt>
              <c:pt idx="1">
                <c:v>148</c:v>
              </c:pt>
            </c:numLit>
          </c:yVal>
          <c:smooth val="0"/>
        </c:ser>
        <c:ser>
          <c:idx val="11"/>
          <c:order val="11"/>
          <c:tx>
            <c:v>Brace4</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13</c:v>
              </c:pt>
              <c:pt idx="1">
                <c:v>17</c:v>
              </c:pt>
            </c:numLit>
          </c:xVal>
          <c:yVal>
            <c:numLit>
              <c:formatCode>General</c:formatCode>
              <c:ptCount val="2"/>
              <c:pt idx="0">
                <c:v>124</c:v>
              </c:pt>
              <c:pt idx="1">
                <c:v>124</c:v>
              </c:pt>
            </c:numLit>
          </c:yVal>
          <c:smooth val="0"/>
        </c:ser>
        <c:ser>
          <c:idx val="12"/>
          <c:order val="12"/>
          <c:tx>
            <c:v>Brace5</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13</c:v>
              </c:pt>
              <c:pt idx="1">
                <c:v>17</c:v>
              </c:pt>
            </c:numLit>
          </c:xVal>
          <c:yVal>
            <c:numLit>
              <c:formatCode>General</c:formatCode>
              <c:ptCount val="2"/>
              <c:pt idx="0">
                <c:v>136</c:v>
              </c:pt>
              <c:pt idx="1">
                <c:v>136</c:v>
              </c:pt>
            </c:numLit>
          </c:yVal>
          <c:smooth val="0"/>
        </c:ser>
        <c:ser>
          <c:idx val="13"/>
          <c:order val="13"/>
          <c:tx>
            <c:v>Brace6</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13</c:v>
              </c:pt>
              <c:pt idx="1">
                <c:v>17</c:v>
              </c:pt>
            </c:numLit>
          </c:xVal>
          <c:yVal>
            <c:numLit>
              <c:formatCode>General</c:formatCode>
              <c:ptCount val="2"/>
              <c:pt idx="0">
                <c:v>148</c:v>
              </c:pt>
              <c:pt idx="1">
                <c:v>148</c:v>
              </c:pt>
            </c:numLit>
          </c:yVal>
          <c:smooth val="0"/>
        </c:ser>
        <c:ser>
          <c:idx val="14"/>
          <c:order val="14"/>
          <c:tx>
            <c:v>Brace7</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17</c:v>
              </c:pt>
              <c:pt idx="1">
                <c:v>19</c:v>
              </c:pt>
            </c:numLit>
          </c:xVal>
          <c:yVal>
            <c:numLit>
              <c:formatCode>General</c:formatCode>
              <c:ptCount val="2"/>
              <c:pt idx="0">
                <c:v>124</c:v>
              </c:pt>
              <c:pt idx="1">
                <c:v>124</c:v>
              </c:pt>
            </c:numLit>
          </c:yVal>
          <c:smooth val="0"/>
        </c:ser>
        <c:ser>
          <c:idx val="15"/>
          <c:order val="15"/>
          <c:tx>
            <c:v>Brace8</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17</c:v>
              </c:pt>
              <c:pt idx="1">
                <c:v>19</c:v>
              </c:pt>
            </c:numLit>
          </c:xVal>
          <c:yVal>
            <c:numLit>
              <c:formatCode>General</c:formatCode>
              <c:ptCount val="2"/>
              <c:pt idx="0">
                <c:v>136</c:v>
              </c:pt>
              <c:pt idx="1">
                <c:v>136</c:v>
              </c:pt>
            </c:numLit>
          </c:yVal>
          <c:smooth val="0"/>
        </c:ser>
        <c:ser>
          <c:idx val="16"/>
          <c:order val="16"/>
          <c:tx>
            <c:v>Brace9</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17</c:v>
              </c:pt>
              <c:pt idx="1">
                <c:v>19</c:v>
              </c:pt>
            </c:numLit>
          </c:xVal>
          <c:yVal>
            <c:numLit>
              <c:formatCode>General</c:formatCode>
              <c:ptCount val="2"/>
              <c:pt idx="0">
                <c:v>148</c:v>
              </c:pt>
              <c:pt idx="1">
                <c:v>148</c:v>
              </c:pt>
            </c:numLit>
          </c:yVal>
          <c:smooth val="0"/>
        </c:ser>
        <c:ser>
          <c:idx val="17"/>
          <c:order val="17"/>
          <c:tx>
            <c:v>Brace10</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19</c:v>
              </c:pt>
              <c:pt idx="1">
                <c:v>21</c:v>
              </c:pt>
            </c:numLit>
          </c:xVal>
          <c:yVal>
            <c:numLit>
              <c:formatCode>General</c:formatCode>
              <c:ptCount val="2"/>
              <c:pt idx="0">
                <c:v>124</c:v>
              </c:pt>
              <c:pt idx="1">
                <c:v>124</c:v>
              </c:pt>
            </c:numLit>
          </c:yVal>
          <c:smooth val="0"/>
        </c:ser>
        <c:ser>
          <c:idx val="18"/>
          <c:order val="18"/>
          <c:tx>
            <c:v>Brace11</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19</c:v>
              </c:pt>
              <c:pt idx="1">
                <c:v>21</c:v>
              </c:pt>
            </c:numLit>
          </c:xVal>
          <c:yVal>
            <c:numLit>
              <c:formatCode>General</c:formatCode>
              <c:ptCount val="2"/>
              <c:pt idx="0">
                <c:v>136</c:v>
              </c:pt>
              <c:pt idx="1">
                <c:v>136</c:v>
              </c:pt>
            </c:numLit>
          </c:yVal>
          <c:smooth val="0"/>
        </c:ser>
        <c:ser>
          <c:idx val="19"/>
          <c:order val="19"/>
          <c:tx>
            <c:v>Brace12</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19</c:v>
              </c:pt>
              <c:pt idx="1">
                <c:v>21</c:v>
              </c:pt>
            </c:numLit>
          </c:xVal>
          <c:yVal>
            <c:numLit>
              <c:formatCode>General</c:formatCode>
              <c:ptCount val="2"/>
              <c:pt idx="0">
                <c:v>148</c:v>
              </c:pt>
              <c:pt idx="1">
                <c:v>148</c:v>
              </c:pt>
            </c:numLit>
          </c:yVal>
          <c:smooth val="0"/>
        </c:ser>
        <c:ser>
          <c:idx val="20"/>
          <c:order val="20"/>
          <c:tx>
            <c:v>Brace13</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21</c:v>
              </c:pt>
              <c:pt idx="1">
                <c:v>25</c:v>
              </c:pt>
            </c:numLit>
          </c:xVal>
          <c:yVal>
            <c:numLit>
              <c:formatCode>General</c:formatCode>
              <c:ptCount val="2"/>
              <c:pt idx="0">
                <c:v>124</c:v>
              </c:pt>
              <c:pt idx="1">
                <c:v>124</c:v>
              </c:pt>
            </c:numLit>
          </c:yVal>
          <c:smooth val="0"/>
        </c:ser>
        <c:ser>
          <c:idx val="21"/>
          <c:order val="21"/>
          <c:tx>
            <c:v>Brace14</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21</c:v>
              </c:pt>
              <c:pt idx="1">
                <c:v>25</c:v>
              </c:pt>
            </c:numLit>
          </c:xVal>
          <c:yVal>
            <c:numLit>
              <c:formatCode>General</c:formatCode>
              <c:ptCount val="2"/>
              <c:pt idx="0">
                <c:v>136</c:v>
              </c:pt>
              <c:pt idx="1">
                <c:v>136</c:v>
              </c:pt>
            </c:numLit>
          </c:yVal>
          <c:smooth val="0"/>
        </c:ser>
        <c:ser>
          <c:idx val="22"/>
          <c:order val="22"/>
          <c:tx>
            <c:v>Brace15</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21</c:v>
              </c:pt>
              <c:pt idx="1">
                <c:v>25</c:v>
              </c:pt>
            </c:numLit>
          </c:xVal>
          <c:yVal>
            <c:numLit>
              <c:formatCode>General</c:formatCode>
              <c:ptCount val="2"/>
              <c:pt idx="0">
                <c:v>148</c:v>
              </c:pt>
              <c:pt idx="1">
                <c:v>148</c:v>
              </c:pt>
            </c:numLit>
          </c:yVal>
          <c:smooth val="0"/>
        </c:ser>
        <c:ser>
          <c:idx val="23"/>
          <c:order val="23"/>
          <c:tx>
            <c:v>Brace16</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25</c:v>
              </c:pt>
              <c:pt idx="1">
                <c:v>29</c:v>
              </c:pt>
            </c:numLit>
          </c:xVal>
          <c:yVal>
            <c:numLit>
              <c:formatCode>General</c:formatCode>
              <c:ptCount val="2"/>
              <c:pt idx="0">
                <c:v>124</c:v>
              </c:pt>
              <c:pt idx="1">
                <c:v>124</c:v>
              </c:pt>
            </c:numLit>
          </c:yVal>
          <c:smooth val="0"/>
        </c:ser>
        <c:ser>
          <c:idx val="24"/>
          <c:order val="24"/>
          <c:tx>
            <c:v>Brace17</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25</c:v>
              </c:pt>
              <c:pt idx="1">
                <c:v>29</c:v>
              </c:pt>
            </c:numLit>
          </c:xVal>
          <c:yVal>
            <c:numLit>
              <c:formatCode>General</c:formatCode>
              <c:ptCount val="2"/>
              <c:pt idx="0">
                <c:v>136</c:v>
              </c:pt>
              <c:pt idx="1">
                <c:v>136</c:v>
              </c:pt>
            </c:numLit>
          </c:yVal>
          <c:smooth val="0"/>
        </c:ser>
        <c:ser>
          <c:idx val="25"/>
          <c:order val="25"/>
          <c:tx>
            <c:v>Brace18</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25</c:v>
              </c:pt>
              <c:pt idx="1">
                <c:v>29</c:v>
              </c:pt>
            </c:numLit>
          </c:xVal>
          <c:yVal>
            <c:numLit>
              <c:formatCode>General</c:formatCode>
              <c:ptCount val="2"/>
              <c:pt idx="0">
                <c:v>148</c:v>
              </c:pt>
              <c:pt idx="1">
                <c:v>148</c:v>
              </c:pt>
            </c:numLit>
          </c:yVal>
          <c:smooth val="0"/>
        </c:ser>
        <c:ser>
          <c:idx val="26"/>
          <c:order val="26"/>
          <c:tx>
            <c:v>Brace19</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29</c:v>
              </c:pt>
              <c:pt idx="1">
                <c:v>37</c:v>
              </c:pt>
            </c:numLit>
          </c:xVal>
          <c:yVal>
            <c:numLit>
              <c:formatCode>General</c:formatCode>
              <c:ptCount val="2"/>
              <c:pt idx="0">
                <c:v>124</c:v>
              </c:pt>
              <c:pt idx="1">
                <c:v>124</c:v>
              </c:pt>
            </c:numLit>
          </c:yVal>
          <c:smooth val="0"/>
        </c:ser>
        <c:ser>
          <c:idx val="27"/>
          <c:order val="27"/>
          <c:tx>
            <c:v>Brace20</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29</c:v>
              </c:pt>
              <c:pt idx="1">
                <c:v>37</c:v>
              </c:pt>
            </c:numLit>
          </c:xVal>
          <c:yVal>
            <c:numLit>
              <c:formatCode>General</c:formatCode>
              <c:ptCount val="2"/>
              <c:pt idx="0">
                <c:v>136</c:v>
              </c:pt>
              <c:pt idx="1">
                <c:v>136</c:v>
              </c:pt>
            </c:numLit>
          </c:yVal>
          <c:smooth val="0"/>
        </c:ser>
        <c:ser>
          <c:idx val="28"/>
          <c:order val="28"/>
          <c:tx>
            <c:v>Brace21</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29</c:v>
              </c:pt>
              <c:pt idx="1">
                <c:v>37</c:v>
              </c:pt>
            </c:numLit>
          </c:xVal>
          <c:yVal>
            <c:numLit>
              <c:formatCode>General</c:formatCode>
              <c:ptCount val="2"/>
              <c:pt idx="0">
                <c:v>148</c:v>
              </c:pt>
              <c:pt idx="1">
                <c:v>148</c:v>
              </c:pt>
            </c:numLit>
          </c:yVal>
          <c:smooth val="0"/>
        </c:ser>
        <c:ser>
          <c:idx val="29"/>
          <c:order val="29"/>
          <c:tx>
            <c:v>Brace22</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13</c:v>
              </c:pt>
              <c:pt idx="1">
                <c:v>17</c:v>
              </c:pt>
            </c:numLit>
          </c:xVal>
          <c:yVal>
            <c:numLit>
              <c:formatCode>General</c:formatCode>
              <c:ptCount val="2"/>
              <c:pt idx="0">
                <c:v>124</c:v>
              </c:pt>
              <c:pt idx="1">
                <c:v>136</c:v>
              </c:pt>
            </c:numLit>
          </c:yVal>
          <c:smooth val="0"/>
        </c:ser>
        <c:ser>
          <c:idx val="30"/>
          <c:order val="30"/>
          <c:tx>
            <c:v>Brace23</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13</c:v>
              </c:pt>
              <c:pt idx="1">
                <c:v>17</c:v>
              </c:pt>
            </c:numLit>
          </c:xVal>
          <c:yVal>
            <c:numLit>
              <c:formatCode>General</c:formatCode>
              <c:ptCount val="2"/>
              <c:pt idx="0">
                <c:v>136</c:v>
              </c:pt>
              <c:pt idx="1">
                <c:v>148</c:v>
              </c:pt>
            </c:numLit>
          </c:yVal>
          <c:smooth val="0"/>
        </c:ser>
        <c:ser>
          <c:idx val="31"/>
          <c:order val="31"/>
          <c:tx>
            <c:v>Brace24</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25</c:v>
              </c:pt>
              <c:pt idx="1">
                <c:v>29</c:v>
              </c:pt>
            </c:numLit>
          </c:xVal>
          <c:yVal>
            <c:numLit>
              <c:formatCode>General</c:formatCode>
              <c:ptCount val="2"/>
              <c:pt idx="0">
                <c:v>124</c:v>
              </c:pt>
              <c:pt idx="1">
                <c:v>136</c:v>
              </c:pt>
            </c:numLit>
          </c:yVal>
          <c:smooth val="0"/>
        </c:ser>
        <c:ser>
          <c:idx val="32"/>
          <c:order val="32"/>
          <c:tx>
            <c:v>Brace25</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25</c:v>
              </c:pt>
              <c:pt idx="1">
                <c:v>29</c:v>
              </c:pt>
            </c:numLit>
          </c:xVal>
          <c:yVal>
            <c:numLit>
              <c:formatCode>General</c:formatCode>
              <c:ptCount val="2"/>
              <c:pt idx="0">
                <c:v>136</c:v>
              </c:pt>
              <c:pt idx="1">
                <c:v>148</c:v>
              </c:pt>
            </c:numLit>
          </c:yVal>
          <c:smooth val="0"/>
        </c:ser>
        <c:ser>
          <c:idx val="33"/>
          <c:order val="33"/>
          <c:tx>
            <c:v>Brace26</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13</c:v>
              </c:pt>
              <c:pt idx="1">
                <c:v>17</c:v>
              </c:pt>
            </c:numLit>
          </c:xVal>
          <c:yVal>
            <c:numLit>
              <c:formatCode>General</c:formatCode>
              <c:ptCount val="2"/>
              <c:pt idx="0">
                <c:v>136</c:v>
              </c:pt>
              <c:pt idx="1">
                <c:v>124</c:v>
              </c:pt>
            </c:numLit>
          </c:yVal>
          <c:smooth val="0"/>
        </c:ser>
        <c:ser>
          <c:idx val="34"/>
          <c:order val="34"/>
          <c:tx>
            <c:v>Brace27</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13</c:v>
              </c:pt>
              <c:pt idx="1">
                <c:v>17</c:v>
              </c:pt>
            </c:numLit>
          </c:xVal>
          <c:yVal>
            <c:numLit>
              <c:formatCode>General</c:formatCode>
              <c:ptCount val="2"/>
              <c:pt idx="0">
                <c:v>148</c:v>
              </c:pt>
              <c:pt idx="1">
                <c:v>136</c:v>
              </c:pt>
            </c:numLit>
          </c:yVal>
          <c:smooth val="0"/>
        </c:ser>
        <c:dLbls>
          <c:showLegendKey val="0"/>
          <c:showVal val="0"/>
          <c:showCatName val="0"/>
          <c:showSerName val="0"/>
          <c:showPercent val="0"/>
          <c:showBubbleSize val="0"/>
        </c:dLbls>
        <c:axId val="162257152"/>
        <c:axId val="162254848"/>
      </c:scatterChart>
      <c:valAx>
        <c:axId val="162257152"/>
        <c:scaling>
          <c:orientation val="minMax"/>
          <c:max val="60"/>
          <c:min val="-20"/>
        </c:scaling>
        <c:delete val="0"/>
        <c:axPos val="b"/>
        <c:title>
          <c:tx>
            <c:rich>
              <a:bodyPr/>
              <a:lstStyle/>
              <a:p>
                <a:pPr>
                  <a:defRPr/>
                </a:pPr>
                <a:r>
                  <a:rPr lang="nb-NO"/>
                  <a:t>Y Axis</a:t>
                </a:r>
              </a:p>
            </c:rich>
          </c:tx>
          <c:layout/>
          <c:overlay val="0"/>
        </c:title>
        <c:numFmt formatCode="General" sourceLinked="1"/>
        <c:majorTickMark val="out"/>
        <c:minorTickMark val="none"/>
        <c:tickLblPos val="nextTo"/>
        <c:crossAx val="162254848"/>
        <c:crosses val="autoZero"/>
        <c:crossBetween val="midCat"/>
      </c:valAx>
      <c:valAx>
        <c:axId val="162254848"/>
        <c:scaling>
          <c:orientation val="minMax"/>
          <c:max val="150"/>
          <c:min val="110"/>
        </c:scaling>
        <c:delete val="0"/>
        <c:axPos val="l"/>
        <c:title>
          <c:tx>
            <c:rich>
              <a:bodyPr/>
              <a:lstStyle/>
              <a:p>
                <a:pPr>
                  <a:defRPr/>
                </a:pPr>
                <a:r>
                  <a:rPr lang="nb-NO"/>
                  <a:t>Z Axis</a:t>
                </a:r>
              </a:p>
            </c:rich>
          </c:tx>
          <c:layout/>
          <c:overlay val="0"/>
        </c:title>
        <c:numFmt formatCode="General" sourceLinked="1"/>
        <c:majorTickMark val="out"/>
        <c:minorTickMark val="none"/>
        <c:tickLblPos val="nextTo"/>
        <c:crossAx val="162257152"/>
        <c:crosses val="autoZero"/>
        <c:crossBetween val="midCat"/>
      </c:valAx>
      <c:spPr>
        <a:solidFill>
          <a:srgbClr val="CCFFFF"/>
        </a:solidFill>
      </c:spPr>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nb-NO"/>
              <a:t>XY Plot</a:t>
            </a:r>
          </a:p>
        </c:rich>
      </c:tx>
      <c:layout/>
      <c:overlay val="0"/>
    </c:title>
    <c:autoTitleDeleted val="0"/>
    <c:plotArea>
      <c:layout>
        <c:manualLayout>
          <c:xMode val="edge"/>
          <c:yMode val="edge"/>
          <c:x val="3.1372549019607843E-2"/>
          <c:y val="5.6838365896980464E-2"/>
          <c:w val="0.96862745098039216"/>
          <c:h val="0.87454105536985494"/>
        </c:manualLayout>
      </c:layout>
      <c:scatterChart>
        <c:scatterStyle val="lineMarker"/>
        <c:varyColors val="0"/>
        <c:ser>
          <c:idx val="0"/>
          <c:order val="0"/>
          <c:tx>
            <c:v>X_Beam1</c:v>
          </c:tx>
          <c:spPr>
            <a:ln w="38100">
              <a:solidFill>
                <a:srgbClr val="000000"/>
              </a:solidFill>
              <a:prstDash val="solid"/>
            </a:ln>
          </c:spPr>
          <c:marker>
            <c:symbol val="circle"/>
            <c:size val="6"/>
            <c:spPr>
              <a:solidFill>
                <a:srgbClr val="00E1E1"/>
              </a:solidFill>
              <a:ln>
                <a:solidFill>
                  <a:srgbClr val="000000"/>
                </a:solidFill>
                <a:prstDash val="solid"/>
              </a:ln>
            </c:spPr>
          </c:marker>
          <c:dLbls>
            <c:dLbl>
              <c:idx val="0"/>
              <c:tx>
                <c:rich>
                  <a:bodyPr/>
                  <a:lstStyle/>
                  <a:p>
                    <a:r>
                      <a:t>A</a:t>
                    </a:r>
                  </a:p>
                </c:rich>
              </c:tx>
              <c:dLblPos val="l"/>
              <c:showLegendKey val="0"/>
              <c:showVal val="1"/>
              <c:showCatName val="0"/>
              <c:showSerName val="0"/>
              <c:showPercent val="0"/>
              <c:showBubbleSize val="0"/>
            </c:dLbl>
            <c:showLegendKey val="0"/>
            <c:showVal val="0"/>
            <c:showCatName val="0"/>
            <c:showSerName val="0"/>
            <c:showPercent val="0"/>
            <c:showBubbleSize val="0"/>
          </c:dLbls>
          <c:xVal>
            <c:numLit>
              <c:formatCode>General</c:formatCode>
              <c:ptCount val="2"/>
              <c:pt idx="0">
                <c:v>-6</c:v>
              </c:pt>
              <c:pt idx="1">
                <c:v>42</c:v>
              </c:pt>
            </c:numLit>
          </c:xVal>
          <c:yVal>
            <c:numLit>
              <c:formatCode>General</c:formatCode>
              <c:ptCount val="2"/>
              <c:pt idx="0">
                <c:v>5</c:v>
              </c:pt>
              <c:pt idx="1">
                <c:v>5</c:v>
              </c:pt>
            </c:numLit>
          </c:yVal>
          <c:smooth val="0"/>
        </c:ser>
        <c:ser>
          <c:idx val="1"/>
          <c:order val="1"/>
          <c:tx>
            <c:v>X_Beam2</c:v>
          </c:tx>
          <c:spPr>
            <a:ln w="12700">
              <a:solidFill>
                <a:srgbClr val="000000"/>
              </a:solidFill>
              <a:prstDash val="solid"/>
            </a:ln>
          </c:spPr>
          <c:marker>
            <c:symbol val="circle"/>
            <c:size val="6"/>
            <c:spPr>
              <a:solidFill>
                <a:srgbClr val="00E1E1"/>
              </a:solidFill>
              <a:ln>
                <a:solidFill>
                  <a:srgbClr val="000000"/>
                </a:solidFill>
                <a:prstDash val="solid"/>
              </a:ln>
            </c:spPr>
          </c:marker>
          <c:dLbls>
            <c:dLbl>
              <c:idx val="0"/>
              <c:tx>
                <c:rich>
                  <a:bodyPr/>
                  <a:lstStyle/>
                  <a:p>
                    <a:r>
                      <a:t>B</a:t>
                    </a:r>
                  </a:p>
                </c:rich>
              </c:tx>
              <c:dLblPos val="l"/>
              <c:showLegendKey val="0"/>
              <c:showVal val="1"/>
              <c:showCatName val="0"/>
              <c:showSerName val="0"/>
              <c:showPercent val="0"/>
              <c:showBubbleSize val="0"/>
            </c:dLbl>
            <c:showLegendKey val="0"/>
            <c:showVal val="0"/>
            <c:showCatName val="0"/>
            <c:showSerName val="0"/>
            <c:showPercent val="0"/>
            <c:showBubbleSize val="0"/>
          </c:dLbls>
          <c:xVal>
            <c:numLit>
              <c:formatCode>General</c:formatCode>
              <c:ptCount val="2"/>
              <c:pt idx="0">
                <c:v>-6</c:v>
              </c:pt>
              <c:pt idx="1">
                <c:v>42</c:v>
              </c:pt>
            </c:numLit>
          </c:xVal>
          <c:yVal>
            <c:numLit>
              <c:formatCode>General</c:formatCode>
              <c:ptCount val="2"/>
              <c:pt idx="0">
                <c:v>13</c:v>
              </c:pt>
              <c:pt idx="1">
                <c:v>13</c:v>
              </c:pt>
            </c:numLit>
          </c:yVal>
          <c:smooth val="0"/>
        </c:ser>
        <c:ser>
          <c:idx val="2"/>
          <c:order val="2"/>
          <c:tx>
            <c:v>X_Beam3</c:v>
          </c:tx>
          <c:spPr>
            <a:ln w="38100">
              <a:solidFill>
                <a:srgbClr val="000000"/>
              </a:solidFill>
              <a:prstDash val="solid"/>
            </a:ln>
          </c:spPr>
          <c:marker>
            <c:symbol val="circle"/>
            <c:size val="6"/>
            <c:spPr>
              <a:solidFill>
                <a:srgbClr val="00E1E1"/>
              </a:solidFill>
              <a:ln>
                <a:solidFill>
                  <a:srgbClr val="000000"/>
                </a:solidFill>
                <a:prstDash val="solid"/>
              </a:ln>
            </c:spPr>
          </c:marker>
          <c:dLbls>
            <c:dLbl>
              <c:idx val="0"/>
              <c:tx>
                <c:rich>
                  <a:bodyPr/>
                  <a:lstStyle/>
                  <a:p>
                    <a:r>
                      <a:t>C</a:t>
                    </a:r>
                  </a:p>
                </c:rich>
              </c:tx>
              <c:dLblPos val="l"/>
              <c:showLegendKey val="0"/>
              <c:showVal val="1"/>
              <c:showCatName val="0"/>
              <c:showSerName val="0"/>
              <c:showPercent val="0"/>
              <c:showBubbleSize val="0"/>
            </c:dLbl>
            <c:showLegendKey val="0"/>
            <c:showVal val="0"/>
            <c:showCatName val="0"/>
            <c:showSerName val="0"/>
            <c:showPercent val="0"/>
            <c:showBubbleSize val="0"/>
          </c:dLbls>
          <c:xVal>
            <c:numLit>
              <c:formatCode>General</c:formatCode>
              <c:ptCount val="2"/>
              <c:pt idx="0">
                <c:v>-6</c:v>
              </c:pt>
              <c:pt idx="1">
                <c:v>42</c:v>
              </c:pt>
            </c:numLit>
          </c:xVal>
          <c:yVal>
            <c:numLit>
              <c:formatCode>General</c:formatCode>
              <c:ptCount val="2"/>
              <c:pt idx="0">
                <c:v>17</c:v>
              </c:pt>
              <c:pt idx="1">
                <c:v>17</c:v>
              </c:pt>
            </c:numLit>
          </c:yVal>
          <c:smooth val="0"/>
        </c:ser>
        <c:ser>
          <c:idx val="3"/>
          <c:order val="3"/>
          <c:tx>
            <c:v>X_Beam4</c:v>
          </c:tx>
          <c:spPr>
            <a:ln w="12700">
              <a:solidFill>
                <a:srgbClr val="000000"/>
              </a:solidFill>
              <a:prstDash val="solid"/>
            </a:ln>
          </c:spPr>
          <c:marker>
            <c:symbol val="circle"/>
            <c:size val="6"/>
            <c:spPr>
              <a:solidFill>
                <a:srgbClr val="00E1E1"/>
              </a:solidFill>
              <a:ln>
                <a:solidFill>
                  <a:srgbClr val="000000"/>
                </a:solidFill>
                <a:prstDash val="solid"/>
              </a:ln>
            </c:spPr>
          </c:marker>
          <c:dLbls>
            <c:dLbl>
              <c:idx val="0"/>
              <c:tx>
                <c:rich>
                  <a:bodyPr/>
                  <a:lstStyle/>
                  <a:p>
                    <a:r>
                      <a:t>D</a:t>
                    </a:r>
                  </a:p>
                </c:rich>
              </c:tx>
              <c:dLblPos val="l"/>
              <c:showLegendKey val="0"/>
              <c:showVal val="1"/>
              <c:showCatName val="0"/>
              <c:showSerName val="0"/>
              <c:showPercent val="0"/>
              <c:showBubbleSize val="0"/>
            </c:dLbl>
            <c:showLegendKey val="0"/>
            <c:showVal val="0"/>
            <c:showCatName val="0"/>
            <c:showSerName val="0"/>
            <c:showPercent val="0"/>
            <c:showBubbleSize val="0"/>
          </c:dLbls>
          <c:xVal>
            <c:numLit>
              <c:formatCode>General</c:formatCode>
              <c:ptCount val="2"/>
              <c:pt idx="0">
                <c:v>-6</c:v>
              </c:pt>
              <c:pt idx="1">
                <c:v>42</c:v>
              </c:pt>
            </c:numLit>
          </c:xVal>
          <c:yVal>
            <c:numLit>
              <c:formatCode>General</c:formatCode>
              <c:ptCount val="2"/>
              <c:pt idx="0">
                <c:v>19</c:v>
              </c:pt>
              <c:pt idx="1">
                <c:v>19</c:v>
              </c:pt>
            </c:numLit>
          </c:yVal>
          <c:smooth val="0"/>
        </c:ser>
        <c:ser>
          <c:idx val="4"/>
          <c:order val="4"/>
          <c:tx>
            <c:v>X_Beam5</c:v>
          </c:tx>
          <c:spPr>
            <a:ln w="12700">
              <a:solidFill>
                <a:srgbClr val="000000"/>
              </a:solidFill>
              <a:prstDash val="solid"/>
            </a:ln>
          </c:spPr>
          <c:marker>
            <c:symbol val="circle"/>
            <c:size val="6"/>
            <c:spPr>
              <a:solidFill>
                <a:srgbClr val="00E1E1"/>
              </a:solidFill>
              <a:ln>
                <a:solidFill>
                  <a:srgbClr val="000000"/>
                </a:solidFill>
                <a:prstDash val="solid"/>
              </a:ln>
            </c:spPr>
          </c:marker>
          <c:dLbls>
            <c:dLbl>
              <c:idx val="0"/>
              <c:tx>
                <c:rich>
                  <a:bodyPr/>
                  <a:lstStyle/>
                  <a:p>
                    <a:r>
                      <a:t>E</a:t>
                    </a:r>
                  </a:p>
                </c:rich>
              </c:tx>
              <c:dLblPos val="l"/>
              <c:showLegendKey val="0"/>
              <c:showVal val="1"/>
              <c:showCatName val="0"/>
              <c:showSerName val="0"/>
              <c:showPercent val="0"/>
              <c:showBubbleSize val="0"/>
            </c:dLbl>
            <c:showLegendKey val="0"/>
            <c:showVal val="0"/>
            <c:showCatName val="0"/>
            <c:showSerName val="0"/>
            <c:showPercent val="0"/>
            <c:showBubbleSize val="0"/>
          </c:dLbls>
          <c:xVal>
            <c:numLit>
              <c:formatCode>General</c:formatCode>
              <c:ptCount val="2"/>
              <c:pt idx="0">
                <c:v>-6</c:v>
              </c:pt>
              <c:pt idx="1">
                <c:v>42</c:v>
              </c:pt>
            </c:numLit>
          </c:xVal>
          <c:yVal>
            <c:numLit>
              <c:formatCode>General</c:formatCode>
              <c:ptCount val="2"/>
              <c:pt idx="0">
                <c:v>21</c:v>
              </c:pt>
              <c:pt idx="1">
                <c:v>21</c:v>
              </c:pt>
            </c:numLit>
          </c:yVal>
          <c:smooth val="0"/>
        </c:ser>
        <c:ser>
          <c:idx val="5"/>
          <c:order val="5"/>
          <c:tx>
            <c:v>X_Beam6</c:v>
          </c:tx>
          <c:spPr>
            <a:ln w="38100">
              <a:solidFill>
                <a:srgbClr val="000000"/>
              </a:solidFill>
              <a:prstDash val="solid"/>
            </a:ln>
          </c:spPr>
          <c:marker>
            <c:symbol val="circle"/>
            <c:size val="6"/>
            <c:spPr>
              <a:solidFill>
                <a:srgbClr val="00E1E1"/>
              </a:solidFill>
              <a:ln>
                <a:solidFill>
                  <a:srgbClr val="000000"/>
                </a:solidFill>
                <a:prstDash val="solid"/>
              </a:ln>
            </c:spPr>
          </c:marker>
          <c:dLbls>
            <c:dLbl>
              <c:idx val="0"/>
              <c:tx>
                <c:rich>
                  <a:bodyPr/>
                  <a:lstStyle/>
                  <a:p>
                    <a:r>
                      <a:t>F</a:t>
                    </a:r>
                  </a:p>
                </c:rich>
              </c:tx>
              <c:dLblPos val="l"/>
              <c:showLegendKey val="0"/>
              <c:showVal val="1"/>
              <c:showCatName val="0"/>
              <c:showSerName val="0"/>
              <c:showPercent val="0"/>
              <c:showBubbleSize val="0"/>
            </c:dLbl>
            <c:showLegendKey val="0"/>
            <c:showVal val="0"/>
            <c:showCatName val="0"/>
            <c:showSerName val="0"/>
            <c:showPercent val="0"/>
            <c:showBubbleSize val="0"/>
          </c:dLbls>
          <c:xVal>
            <c:numLit>
              <c:formatCode>General</c:formatCode>
              <c:ptCount val="2"/>
              <c:pt idx="0">
                <c:v>-6</c:v>
              </c:pt>
              <c:pt idx="1">
                <c:v>42</c:v>
              </c:pt>
            </c:numLit>
          </c:xVal>
          <c:yVal>
            <c:numLit>
              <c:formatCode>General</c:formatCode>
              <c:ptCount val="2"/>
              <c:pt idx="0">
                <c:v>25</c:v>
              </c:pt>
              <c:pt idx="1">
                <c:v>25</c:v>
              </c:pt>
            </c:numLit>
          </c:yVal>
          <c:smooth val="0"/>
        </c:ser>
        <c:ser>
          <c:idx val="6"/>
          <c:order val="6"/>
          <c:tx>
            <c:v>X_Beam7</c:v>
          </c:tx>
          <c:spPr>
            <a:ln w="12700">
              <a:solidFill>
                <a:srgbClr val="000000"/>
              </a:solidFill>
              <a:prstDash val="solid"/>
            </a:ln>
          </c:spPr>
          <c:marker>
            <c:symbol val="circle"/>
            <c:size val="6"/>
            <c:spPr>
              <a:solidFill>
                <a:srgbClr val="00E1E1"/>
              </a:solidFill>
              <a:ln>
                <a:solidFill>
                  <a:srgbClr val="000000"/>
                </a:solidFill>
                <a:prstDash val="solid"/>
              </a:ln>
            </c:spPr>
          </c:marker>
          <c:dLbls>
            <c:dLbl>
              <c:idx val="0"/>
              <c:tx>
                <c:rich>
                  <a:bodyPr/>
                  <a:lstStyle/>
                  <a:p>
                    <a:r>
                      <a:t>G</a:t>
                    </a:r>
                  </a:p>
                </c:rich>
              </c:tx>
              <c:dLblPos val="l"/>
              <c:showLegendKey val="0"/>
              <c:showVal val="1"/>
              <c:showCatName val="0"/>
              <c:showSerName val="0"/>
              <c:showPercent val="0"/>
              <c:showBubbleSize val="0"/>
            </c:dLbl>
            <c:showLegendKey val="0"/>
            <c:showVal val="0"/>
            <c:showCatName val="0"/>
            <c:showSerName val="0"/>
            <c:showPercent val="0"/>
            <c:showBubbleSize val="0"/>
          </c:dLbls>
          <c:xVal>
            <c:numLit>
              <c:formatCode>General</c:formatCode>
              <c:ptCount val="2"/>
              <c:pt idx="0">
                <c:v>-6</c:v>
              </c:pt>
              <c:pt idx="1">
                <c:v>42</c:v>
              </c:pt>
            </c:numLit>
          </c:xVal>
          <c:yVal>
            <c:numLit>
              <c:formatCode>General</c:formatCode>
              <c:ptCount val="2"/>
              <c:pt idx="0">
                <c:v>29</c:v>
              </c:pt>
              <c:pt idx="1">
                <c:v>29</c:v>
              </c:pt>
            </c:numLit>
          </c:yVal>
          <c:smooth val="0"/>
        </c:ser>
        <c:ser>
          <c:idx val="7"/>
          <c:order val="7"/>
          <c:tx>
            <c:v>X_Beam8</c:v>
          </c:tx>
          <c:spPr>
            <a:ln w="38100">
              <a:solidFill>
                <a:srgbClr val="000000"/>
              </a:solidFill>
              <a:prstDash val="solid"/>
            </a:ln>
          </c:spPr>
          <c:marker>
            <c:symbol val="circle"/>
            <c:size val="6"/>
            <c:spPr>
              <a:solidFill>
                <a:srgbClr val="00E1E1"/>
              </a:solidFill>
              <a:ln>
                <a:solidFill>
                  <a:srgbClr val="000000"/>
                </a:solidFill>
                <a:prstDash val="solid"/>
              </a:ln>
            </c:spPr>
          </c:marker>
          <c:dLbls>
            <c:dLbl>
              <c:idx val="0"/>
              <c:tx>
                <c:rich>
                  <a:bodyPr/>
                  <a:lstStyle/>
                  <a:p>
                    <a:r>
                      <a:t>H</a:t>
                    </a:r>
                  </a:p>
                </c:rich>
              </c:tx>
              <c:dLblPos val="l"/>
              <c:showLegendKey val="0"/>
              <c:showVal val="1"/>
              <c:showCatName val="0"/>
              <c:showSerName val="0"/>
              <c:showPercent val="0"/>
              <c:showBubbleSize val="0"/>
            </c:dLbl>
            <c:showLegendKey val="0"/>
            <c:showVal val="0"/>
            <c:showCatName val="0"/>
            <c:showSerName val="0"/>
            <c:showPercent val="0"/>
            <c:showBubbleSize val="0"/>
          </c:dLbls>
          <c:xVal>
            <c:numLit>
              <c:formatCode>General</c:formatCode>
              <c:ptCount val="2"/>
              <c:pt idx="0">
                <c:v>-6</c:v>
              </c:pt>
              <c:pt idx="1">
                <c:v>42</c:v>
              </c:pt>
            </c:numLit>
          </c:xVal>
          <c:yVal>
            <c:numLit>
              <c:formatCode>General</c:formatCode>
              <c:ptCount val="2"/>
              <c:pt idx="0">
                <c:v>37</c:v>
              </c:pt>
              <c:pt idx="1">
                <c:v>37</c:v>
              </c:pt>
            </c:numLit>
          </c:yVal>
          <c:smooth val="0"/>
        </c:ser>
        <c:ser>
          <c:idx val="8"/>
          <c:order val="8"/>
          <c:tx>
            <c:v>Y_Beam1</c:v>
          </c:tx>
          <c:spPr>
            <a:ln w="38100">
              <a:solidFill>
                <a:srgbClr val="000000"/>
              </a:solidFill>
              <a:prstDash val="solid"/>
            </a:ln>
          </c:spPr>
          <c:marker>
            <c:symbol val="circle"/>
            <c:size val="6"/>
            <c:spPr>
              <a:solidFill>
                <a:srgbClr val="00E1E1"/>
              </a:solidFill>
              <a:ln>
                <a:solidFill>
                  <a:srgbClr val="000000"/>
                </a:solidFill>
                <a:prstDash val="solid"/>
              </a:ln>
            </c:spPr>
          </c:marker>
          <c:dLbls>
            <c:dLbl>
              <c:idx val="0"/>
              <c:tx>
                <c:rich>
                  <a:bodyPr/>
                  <a:lstStyle/>
                  <a:p>
                    <a:r>
                      <a:t>1</a:t>
                    </a:r>
                  </a:p>
                </c:rich>
              </c:tx>
              <c:dLblPos val="b"/>
              <c:showLegendKey val="0"/>
              <c:showVal val="1"/>
              <c:showCatName val="0"/>
              <c:showSerName val="0"/>
              <c:showPercent val="0"/>
              <c:showBubbleSize val="0"/>
            </c:dLbl>
            <c:showLegendKey val="0"/>
            <c:showVal val="0"/>
            <c:showCatName val="0"/>
            <c:showSerName val="0"/>
            <c:showPercent val="0"/>
            <c:showBubbleSize val="0"/>
          </c:dLbls>
          <c:xVal>
            <c:numLit>
              <c:formatCode>General</c:formatCode>
              <c:ptCount val="2"/>
              <c:pt idx="0">
                <c:v>-6</c:v>
              </c:pt>
              <c:pt idx="1">
                <c:v>-6</c:v>
              </c:pt>
            </c:numLit>
          </c:xVal>
          <c:yVal>
            <c:numLit>
              <c:formatCode>General</c:formatCode>
              <c:ptCount val="2"/>
              <c:pt idx="0">
                <c:v>5</c:v>
              </c:pt>
              <c:pt idx="1">
                <c:v>37</c:v>
              </c:pt>
            </c:numLit>
          </c:yVal>
          <c:smooth val="0"/>
        </c:ser>
        <c:ser>
          <c:idx val="9"/>
          <c:order val="9"/>
          <c:tx>
            <c:v>Y_Beam2</c:v>
          </c:tx>
          <c:spPr>
            <a:ln w="12700">
              <a:solidFill>
                <a:srgbClr val="000000"/>
              </a:solidFill>
              <a:prstDash val="solid"/>
            </a:ln>
          </c:spPr>
          <c:marker>
            <c:symbol val="circle"/>
            <c:size val="6"/>
            <c:spPr>
              <a:solidFill>
                <a:srgbClr val="00E1E1"/>
              </a:solidFill>
              <a:ln>
                <a:solidFill>
                  <a:srgbClr val="000000"/>
                </a:solidFill>
                <a:prstDash val="solid"/>
              </a:ln>
            </c:spPr>
          </c:marker>
          <c:dLbls>
            <c:dLbl>
              <c:idx val="0"/>
              <c:tx>
                <c:rich>
                  <a:bodyPr/>
                  <a:lstStyle/>
                  <a:p>
                    <a:r>
                      <a:t>2</a:t>
                    </a:r>
                  </a:p>
                </c:rich>
              </c:tx>
              <c:dLblPos val="b"/>
              <c:showLegendKey val="0"/>
              <c:showVal val="1"/>
              <c:showCatName val="0"/>
              <c:showSerName val="0"/>
              <c:showPercent val="0"/>
              <c:showBubbleSize val="0"/>
            </c:dLbl>
            <c:showLegendKey val="0"/>
            <c:showVal val="0"/>
            <c:showCatName val="0"/>
            <c:showSerName val="0"/>
            <c:showPercent val="0"/>
            <c:showBubbleSize val="0"/>
          </c:dLbls>
          <c:xVal>
            <c:numLit>
              <c:formatCode>General</c:formatCode>
              <c:ptCount val="2"/>
              <c:pt idx="0">
                <c:v>6</c:v>
              </c:pt>
              <c:pt idx="1">
                <c:v>6</c:v>
              </c:pt>
            </c:numLit>
          </c:xVal>
          <c:yVal>
            <c:numLit>
              <c:formatCode>General</c:formatCode>
              <c:ptCount val="2"/>
              <c:pt idx="0">
                <c:v>5</c:v>
              </c:pt>
              <c:pt idx="1">
                <c:v>37</c:v>
              </c:pt>
            </c:numLit>
          </c:yVal>
          <c:smooth val="0"/>
        </c:ser>
        <c:ser>
          <c:idx val="10"/>
          <c:order val="10"/>
          <c:tx>
            <c:v>Y_Beam3</c:v>
          </c:tx>
          <c:spPr>
            <a:ln w="38100">
              <a:solidFill>
                <a:srgbClr val="000000"/>
              </a:solidFill>
              <a:prstDash val="solid"/>
            </a:ln>
          </c:spPr>
          <c:marker>
            <c:symbol val="circle"/>
            <c:size val="6"/>
            <c:spPr>
              <a:solidFill>
                <a:srgbClr val="00E1E1"/>
              </a:solidFill>
              <a:ln>
                <a:solidFill>
                  <a:srgbClr val="000000"/>
                </a:solidFill>
                <a:prstDash val="solid"/>
              </a:ln>
            </c:spPr>
          </c:marker>
          <c:dLbls>
            <c:dLbl>
              <c:idx val="0"/>
              <c:tx>
                <c:rich>
                  <a:bodyPr/>
                  <a:lstStyle/>
                  <a:p>
                    <a:r>
                      <a:t>3</a:t>
                    </a:r>
                  </a:p>
                </c:rich>
              </c:tx>
              <c:dLblPos val="b"/>
              <c:showLegendKey val="0"/>
              <c:showVal val="1"/>
              <c:showCatName val="0"/>
              <c:showSerName val="0"/>
              <c:showPercent val="0"/>
              <c:showBubbleSize val="0"/>
            </c:dLbl>
            <c:showLegendKey val="0"/>
            <c:showVal val="0"/>
            <c:showCatName val="0"/>
            <c:showSerName val="0"/>
            <c:showPercent val="0"/>
            <c:showBubbleSize val="0"/>
          </c:dLbls>
          <c:xVal>
            <c:numLit>
              <c:formatCode>General</c:formatCode>
              <c:ptCount val="2"/>
              <c:pt idx="0">
                <c:v>10</c:v>
              </c:pt>
              <c:pt idx="1">
                <c:v>10</c:v>
              </c:pt>
            </c:numLit>
          </c:xVal>
          <c:yVal>
            <c:numLit>
              <c:formatCode>General</c:formatCode>
              <c:ptCount val="2"/>
              <c:pt idx="0">
                <c:v>5</c:v>
              </c:pt>
              <c:pt idx="1">
                <c:v>37</c:v>
              </c:pt>
            </c:numLit>
          </c:yVal>
          <c:smooth val="0"/>
        </c:ser>
        <c:ser>
          <c:idx val="11"/>
          <c:order val="11"/>
          <c:tx>
            <c:v>Y_Beam4</c:v>
          </c:tx>
          <c:spPr>
            <a:ln w="12700">
              <a:solidFill>
                <a:srgbClr val="000000"/>
              </a:solidFill>
              <a:prstDash val="solid"/>
            </a:ln>
          </c:spPr>
          <c:marker>
            <c:symbol val="circle"/>
            <c:size val="6"/>
            <c:spPr>
              <a:solidFill>
                <a:srgbClr val="00E1E1"/>
              </a:solidFill>
              <a:ln>
                <a:solidFill>
                  <a:srgbClr val="000000"/>
                </a:solidFill>
                <a:prstDash val="solid"/>
              </a:ln>
            </c:spPr>
          </c:marker>
          <c:dLbls>
            <c:dLbl>
              <c:idx val="0"/>
              <c:tx>
                <c:rich>
                  <a:bodyPr/>
                  <a:lstStyle/>
                  <a:p>
                    <a:r>
                      <a:t>4</a:t>
                    </a:r>
                  </a:p>
                </c:rich>
              </c:tx>
              <c:dLblPos val="b"/>
              <c:showLegendKey val="0"/>
              <c:showVal val="1"/>
              <c:showCatName val="0"/>
              <c:showSerName val="0"/>
              <c:showPercent val="0"/>
              <c:showBubbleSize val="0"/>
            </c:dLbl>
            <c:showLegendKey val="0"/>
            <c:showVal val="0"/>
            <c:showCatName val="0"/>
            <c:showSerName val="0"/>
            <c:showPercent val="0"/>
            <c:showBubbleSize val="0"/>
          </c:dLbls>
          <c:xVal>
            <c:numLit>
              <c:formatCode>General</c:formatCode>
              <c:ptCount val="2"/>
              <c:pt idx="0">
                <c:v>12</c:v>
              </c:pt>
              <c:pt idx="1">
                <c:v>12</c:v>
              </c:pt>
            </c:numLit>
          </c:xVal>
          <c:yVal>
            <c:numLit>
              <c:formatCode>General</c:formatCode>
              <c:ptCount val="2"/>
              <c:pt idx="0">
                <c:v>5</c:v>
              </c:pt>
              <c:pt idx="1">
                <c:v>37</c:v>
              </c:pt>
            </c:numLit>
          </c:yVal>
          <c:smooth val="0"/>
        </c:ser>
        <c:ser>
          <c:idx val="12"/>
          <c:order val="12"/>
          <c:tx>
            <c:v>Y_Beam5</c:v>
          </c:tx>
          <c:spPr>
            <a:ln w="38100">
              <a:solidFill>
                <a:srgbClr val="000000"/>
              </a:solidFill>
              <a:prstDash val="solid"/>
            </a:ln>
          </c:spPr>
          <c:marker>
            <c:symbol val="circle"/>
            <c:size val="6"/>
            <c:spPr>
              <a:solidFill>
                <a:srgbClr val="00E1E1"/>
              </a:solidFill>
              <a:ln>
                <a:solidFill>
                  <a:srgbClr val="000000"/>
                </a:solidFill>
                <a:prstDash val="solid"/>
              </a:ln>
            </c:spPr>
          </c:marker>
          <c:dLbls>
            <c:dLbl>
              <c:idx val="0"/>
              <c:tx>
                <c:rich>
                  <a:bodyPr/>
                  <a:lstStyle/>
                  <a:p>
                    <a:r>
                      <a:t>5</a:t>
                    </a:r>
                  </a:p>
                </c:rich>
              </c:tx>
              <c:dLblPos val="b"/>
              <c:showLegendKey val="0"/>
              <c:showVal val="1"/>
              <c:showCatName val="0"/>
              <c:showSerName val="0"/>
              <c:showPercent val="0"/>
              <c:showBubbleSize val="0"/>
            </c:dLbl>
            <c:showLegendKey val="0"/>
            <c:showVal val="0"/>
            <c:showCatName val="0"/>
            <c:showSerName val="0"/>
            <c:showPercent val="0"/>
            <c:showBubbleSize val="0"/>
          </c:dLbls>
          <c:xVal>
            <c:numLit>
              <c:formatCode>General</c:formatCode>
              <c:ptCount val="2"/>
              <c:pt idx="0">
                <c:v>18</c:v>
              </c:pt>
              <c:pt idx="1">
                <c:v>18</c:v>
              </c:pt>
            </c:numLit>
          </c:xVal>
          <c:yVal>
            <c:numLit>
              <c:formatCode>General</c:formatCode>
              <c:ptCount val="2"/>
              <c:pt idx="0">
                <c:v>5</c:v>
              </c:pt>
              <c:pt idx="1">
                <c:v>37</c:v>
              </c:pt>
            </c:numLit>
          </c:yVal>
          <c:smooth val="0"/>
        </c:ser>
        <c:ser>
          <c:idx val="13"/>
          <c:order val="13"/>
          <c:tx>
            <c:v>Y_Beam6</c:v>
          </c:tx>
          <c:spPr>
            <a:ln w="38100">
              <a:solidFill>
                <a:srgbClr val="000000"/>
              </a:solidFill>
              <a:prstDash val="solid"/>
            </a:ln>
          </c:spPr>
          <c:marker>
            <c:symbol val="circle"/>
            <c:size val="6"/>
            <c:spPr>
              <a:solidFill>
                <a:srgbClr val="00E1E1"/>
              </a:solidFill>
              <a:ln>
                <a:solidFill>
                  <a:srgbClr val="000000"/>
                </a:solidFill>
                <a:prstDash val="solid"/>
              </a:ln>
            </c:spPr>
          </c:marker>
          <c:dLbls>
            <c:dLbl>
              <c:idx val="0"/>
              <c:tx>
                <c:rich>
                  <a:bodyPr/>
                  <a:lstStyle/>
                  <a:p>
                    <a:r>
                      <a:t>6</a:t>
                    </a:r>
                  </a:p>
                </c:rich>
              </c:tx>
              <c:dLblPos val="b"/>
              <c:showLegendKey val="0"/>
              <c:showVal val="1"/>
              <c:showCatName val="0"/>
              <c:showSerName val="0"/>
              <c:showPercent val="0"/>
              <c:showBubbleSize val="0"/>
            </c:dLbl>
            <c:showLegendKey val="0"/>
            <c:showVal val="0"/>
            <c:showCatName val="0"/>
            <c:showSerName val="0"/>
            <c:showPercent val="0"/>
            <c:showBubbleSize val="0"/>
          </c:dLbls>
          <c:xVal>
            <c:numLit>
              <c:formatCode>General</c:formatCode>
              <c:ptCount val="2"/>
              <c:pt idx="0">
                <c:v>22</c:v>
              </c:pt>
              <c:pt idx="1">
                <c:v>22</c:v>
              </c:pt>
            </c:numLit>
          </c:xVal>
          <c:yVal>
            <c:numLit>
              <c:formatCode>General</c:formatCode>
              <c:ptCount val="2"/>
              <c:pt idx="0">
                <c:v>5</c:v>
              </c:pt>
              <c:pt idx="1">
                <c:v>37</c:v>
              </c:pt>
            </c:numLit>
          </c:yVal>
          <c:smooth val="0"/>
        </c:ser>
        <c:ser>
          <c:idx val="14"/>
          <c:order val="14"/>
          <c:tx>
            <c:v>Y_Beam7</c:v>
          </c:tx>
          <c:spPr>
            <a:ln w="12700">
              <a:solidFill>
                <a:srgbClr val="000000"/>
              </a:solidFill>
              <a:prstDash val="solid"/>
            </a:ln>
          </c:spPr>
          <c:marker>
            <c:symbol val="circle"/>
            <c:size val="6"/>
            <c:spPr>
              <a:solidFill>
                <a:srgbClr val="00E1E1"/>
              </a:solidFill>
              <a:ln>
                <a:solidFill>
                  <a:srgbClr val="000000"/>
                </a:solidFill>
                <a:prstDash val="solid"/>
              </a:ln>
            </c:spPr>
          </c:marker>
          <c:dLbls>
            <c:dLbl>
              <c:idx val="0"/>
              <c:tx>
                <c:rich>
                  <a:bodyPr/>
                  <a:lstStyle/>
                  <a:p>
                    <a:r>
                      <a:t>7</a:t>
                    </a:r>
                  </a:p>
                </c:rich>
              </c:tx>
              <c:dLblPos val="b"/>
              <c:showLegendKey val="0"/>
              <c:showVal val="1"/>
              <c:showCatName val="0"/>
              <c:showSerName val="0"/>
              <c:showPercent val="0"/>
              <c:showBubbleSize val="0"/>
            </c:dLbl>
            <c:showLegendKey val="0"/>
            <c:showVal val="0"/>
            <c:showCatName val="0"/>
            <c:showSerName val="0"/>
            <c:showPercent val="0"/>
            <c:showBubbleSize val="0"/>
          </c:dLbls>
          <c:xVal>
            <c:numLit>
              <c:formatCode>General</c:formatCode>
              <c:ptCount val="2"/>
              <c:pt idx="0">
                <c:v>30</c:v>
              </c:pt>
              <c:pt idx="1">
                <c:v>30</c:v>
              </c:pt>
            </c:numLit>
          </c:xVal>
          <c:yVal>
            <c:numLit>
              <c:formatCode>General</c:formatCode>
              <c:ptCount val="2"/>
              <c:pt idx="0">
                <c:v>5</c:v>
              </c:pt>
              <c:pt idx="1">
                <c:v>37</c:v>
              </c:pt>
            </c:numLit>
          </c:yVal>
          <c:smooth val="0"/>
        </c:ser>
        <c:ser>
          <c:idx val="15"/>
          <c:order val="15"/>
          <c:tx>
            <c:v>Y_Beam8</c:v>
          </c:tx>
          <c:spPr>
            <a:ln w="38100">
              <a:solidFill>
                <a:srgbClr val="000000"/>
              </a:solidFill>
              <a:prstDash val="solid"/>
            </a:ln>
          </c:spPr>
          <c:marker>
            <c:symbol val="circle"/>
            <c:size val="6"/>
            <c:spPr>
              <a:solidFill>
                <a:srgbClr val="00E1E1"/>
              </a:solidFill>
              <a:ln>
                <a:solidFill>
                  <a:srgbClr val="000000"/>
                </a:solidFill>
                <a:prstDash val="solid"/>
              </a:ln>
            </c:spPr>
          </c:marker>
          <c:dLbls>
            <c:dLbl>
              <c:idx val="0"/>
              <c:tx>
                <c:rich>
                  <a:bodyPr/>
                  <a:lstStyle/>
                  <a:p>
                    <a:r>
                      <a:t>8</a:t>
                    </a:r>
                  </a:p>
                </c:rich>
              </c:tx>
              <c:dLblPos val="b"/>
              <c:showLegendKey val="0"/>
              <c:showVal val="1"/>
              <c:showCatName val="0"/>
              <c:showSerName val="0"/>
              <c:showPercent val="0"/>
              <c:showBubbleSize val="0"/>
            </c:dLbl>
            <c:showLegendKey val="0"/>
            <c:showVal val="0"/>
            <c:showCatName val="0"/>
            <c:showSerName val="0"/>
            <c:showPercent val="0"/>
            <c:showBubbleSize val="0"/>
          </c:dLbls>
          <c:xVal>
            <c:numLit>
              <c:formatCode>General</c:formatCode>
              <c:ptCount val="2"/>
              <c:pt idx="0">
                <c:v>32</c:v>
              </c:pt>
              <c:pt idx="1">
                <c:v>32</c:v>
              </c:pt>
            </c:numLit>
          </c:xVal>
          <c:yVal>
            <c:numLit>
              <c:formatCode>General</c:formatCode>
              <c:ptCount val="2"/>
              <c:pt idx="0">
                <c:v>5</c:v>
              </c:pt>
              <c:pt idx="1">
                <c:v>37</c:v>
              </c:pt>
            </c:numLit>
          </c:yVal>
          <c:smooth val="0"/>
        </c:ser>
        <c:ser>
          <c:idx val="16"/>
          <c:order val="16"/>
          <c:tx>
            <c:v>Y_Beam9</c:v>
          </c:tx>
          <c:spPr>
            <a:ln w="38100">
              <a:solidFill>
                <a:srgbClr val="000000"/>
              </a:solidFill>
              <a:prstDash val="solid"/>
            </a:ln>
          </c:spPr>
          <c:marker>
            <c:symbol val="circle"/>
            <c:size val="6"/>
            <c:spPr>
              <a:solidFill>
                <a:srgbClr val="00E1E1"/>
              </a:solidFill>
              <a:ln>
                <a:solidFill>
                  <a:srgbClr val="000000"/>
                </a:solidFill>
                <a:prstDash val="solid"/>
              </a:ln>
            </c:spPr>
          </c:marker>
          <c:dLbls>
            <c:dLbl>
              <c:idx val="0"/>
              <c:tx>
                <c:rich>
                  <a:bodyPr/>
                  <a:lstStyle/>
                  <a:p>
                    <a:r>
                      <a:t>9</a:t>
                    </a:r>
                  </a:p>
                </c:rich>
              </c:tx>
              <c:dLblPos val="b"/>
              <c:showLegendKey val="0"/>
              <c:showVal val="1"/>
              <c:showCatName val="0"/>
              <c:showSerName val="0"/>
              <c:showPercent val="0"/>
              <c:showBubbleSize val="0"/>
            </c:dLbl>
            <c:showLegendKey val="0"/>
            <c:showVal val="0"/>
            <c:showCatName val="0"/>
            <c:showSerName val="0"/>
            <c:showPercent val="0"/>
            <c:showBubbleSize val="0"/>
          </c:dLbls>
          <c:xVal>
            <c:numLit>
              <c:formatCode>General</c:formatCode>
              <c:ptCount val="2"/>
              <c:pt idx="0">
                <c:v>34</c:v>
              </c:pt>
              <c:pt idx="1">
                <c:v>34</c:v>
              </c:pt>
            </c:numLit>
          </c:xVal>
          <c:yVal>
            <c:numLit>
              <c:formatCode>General</c:formatCode>
              <c:ptCount val="2"/>
              <c:pt idx="0">
                <c:v>5</c:v>
              </c:pt>
              <c:pt idx="1">
                <c:v>37</c:v>
              </c:pt>
            </c:numLit>
          </c:yVal>
          <c:smooth val="0"/>
        </c:ser>
        <c:ser>
          <c:idx val="17"/>
          <c:order val="17"/>
          <c:tx>
            <c:v>Y_Beam10</c:v>
          </c:tx>
          <c:spPr>
            <a:ln w="38100">
              <a:solidFill>
                <a:srgbClr val="000000"/>
              </a:solidFill>
              <a:prstDash val="solid"/>
            </a:ln>
          </c:spPr>
          <c:marker>
            <c:symbol val="circle"/>
            <c:size val="6"/>
            <c:spPr>
              <a:solidFill>
                <a:srgbClr val="00E1E1"/>
              </a:solidFill>
              <a:ln>
                <a:solidFill>
                  <a:srgbClr val="000000"/>
                </a:solidFill>
                <a:prstDash val="solid"/>
              </a:ln>
            </c:spPr>
          </c:marker>
          <c:dLbls>
            <c:dLbl>
              <c:idx val="0"/>
              <c:tx>
                <c:rich>
                  <a:bodyPr/>
                  <a:lstStyle/>
                  <a:p>
                    <a:r>
                      <a:t>10</a:t>
                    </a:r>
                  </a:p>
                </c:rich>
              </c:tx>
              <c:dLblPos val="b"/>
              <c:showLegendKey val="0"/>
              <c:showVal val="1"/>
              <c:showCatName val="0"/>
              <c:showSerName val="0"/>
              <c:showPercent val="0"/>
              <c:showBubbleSize val="0"/>
            </c:dLbl>
            <c:showLegendKey val="0"/>
            <c:showVal val="0"/>
            <c:showCatName val="0"/>
            <c:showSerName val="0"/>
            <c:showPercent val="0"/>
            <c:showBubbleSize val="0"/>
          </c:dLbls>
          <c:xVal>
            <c:numLit>
              <c:formatCode>General</c:formatCode>
              <c:ptCount val="2"/>
              <c:pt idx="0">
                <c:v>42</c:v>
              </c:pt>
              <c:pt idx="1">
                <c:v>42</c:v>
              </c:pt>
            </c:numLit>
          </c:xVal>
          <c:yVal>
            <c:numLit>
              <c:formatCode>General</c:formatCode>
              <c:ptCount val="2"/>
              <c:pt idx="0">
                <c:v>5</c:v>
              </c:pt>
              <c:pt idx="1">
                <c:v>37</c:v>
              </c:pt>
            </c:numLit>
          </c:yVal>
          <c:smooth val="0"/>
        </c:ser>
        <c:dLbls>
          <c:showLegendKey val="0"/>
          <c:showVal val="0"/>
          <c:showCatName val="0"/>
          <c:showSerName val="0"/>
          <c:showPercent val="0"/>
          <c:showBubbleSize val="0"/>
        </c:dLbls>
        <c:axId val="163554048"/>
        <c:axId val="162790784"/>
      </c:scatterChart>
      <c:valAx>
        <c:axId val="163554048"/>
        <c:scaling>
          <c:orientation val="minMax"/>
          <c:max val="50"/>
          <c:min val="-10"/>
        </c:scaling>
        <c:delete val="0"/>
        <c:axPos val="b"/>
        <c:title>
          <c:tx>
            <c:rich>
              <a:bodyPr/>
              <a:lstStyle/>
              <a:p>
                <a:pPr>
                  <a:defRPr/>
                </a:pPr>
                <a:r>
                  <a:rPr lang="nb-NO"/>
                  <a:t>X Axis</a:t>
                </a:r>
              </a:p>
            </c:rich>
          </c:tx>
          <c:layout/>
          <c:overlay val="0"/>
        </c:title>
        <c:numFmt formatCode="General" sourceLinked="1"/>
        <c:majorTickMark val="out"/>
        <c:minorTickMark val="none"/>
        <c:tickLblPos val="nextTo"/>
        <c:crossAx val="162790784"/>
        <c:crosses val="autoZero"/>
        <c:crossBetween val="midCat"/>
      </c:valAx>
      <c:valAx>
        <c:axId val="162790784"/>
        <c:scaling>
          <c:orientation val="minMax"/>
          <c:max val="50"/>
          <c:min val="0"/>
        </c:scaling>
        <c:delete val="0"/>
        <c:axPos val="l"/>
        <c:title>
          <c:tx>
            <c:rich>
              <a:bodyPr/>
              <a:lstStyle/>
              <a:p>
                <a:pPr>
                  <a:defRPr/>
                </a:pPr>
                <a:r>
                  <a:rPr lang="nb-NO"/>
                  <a:t>Y Axis</a:t>
                </a:r>
              </a:p>
            </c:rich>
          </c:tx>
          <c:layout/>
          <c:overlay val="0"/>
        </c:title>
        <c:numFmt formatCode="General" sourceLinked="1"/>
        <c:majorTickMark val="out"/>
        <c:minorTickMark val="none"/>
        <c:tickLblPos val="nextTo"/>
        <c:crossAx val="163554048"/>
        <c:crosses val="autoZero"/>
        <c:crossBetween val="midCat"/>
      </c:valAx>
      <c:spPr>
        <a:solidFill>
          <a:srgbClr val="CCFFFF"/>
        </a:solidFill>
      </c:spPr>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nb-NO"/>
              <a:t>XY Plot</a:t>
            </a:r>
          </a:p>
        </c:rich>
      </c:tx>
      <c:layout>
        <c:manualLayout>
          <c:xMode val="edge"/>
          <c:yMode val="edge"/>
          <c:x val="0.46470612938088618"/>
          <c:y val="2.8419182948490232E-2"/>
        </c:manualLayout>
      </c:layout>
      <c:overlay val="0"/>
      <c:spPr>
        <a:noFill/>
        <a:ln w="25400">
          <a:noFill/>
        </a:ln>
      </c:spPr>
    </c:title>
    <c:autoTitleDeleted val="0"/>
    <c:plotArea>
      <c:layout>
        <c:manualLayout>
          <c:layoutTarget val="inner"/>
          <c:xMode val="edge"/>
          <c:yMode val="edge"/>
          <c:x val="5.6470620674759116E-2"/>
          <c:y val="7.460035523978685E-2"/>
          <c:w val="0.92470641354918059"/>
          <c:h val="0.80284191829484908"/>
        </c:manualLayout>
      </c:layout>
      <c:scatterChart>
        <c:scatterStyle val="lineMarker"/>
        <c:varyColors val="0"/>
        <c:ser>
          <c:idx val="0"/>
          <c:order val="0"/>
          <c:tx>
            <c:v>X_Beam1</c:v>
          </c:tx>
          <c:spPr>
            <a:ln w="38100">
              <a:solidFill>
                <a:srgbClr val="000000"/>
              </a:solidFill>
              <a:prstDash val="solid"/>
            </a:ln>
          </c:spPr>
          <c:marker>
            <c:symbol val="circle"/>
            <c:size val="6"/>
            <c:spPr>
              <a:solidFill>
                <a:srgbClr val="00CCFF"/>
              </a:solidFill>
              <a:ln>
                <a:solidFill>
                  <a:srgbClr val="000000"/>
                </a:solidFill>
                <a:prstDash val="solid"/>
              </a:ln>
            </c:spPr>
          </c:marker>
          <c:dLbls>
            <c:dLbl>
              <c:idx val="0"/>
              <c:tx>
                <c:rich>
                  <a:bodyPr/>
                  <a:lstStyle/>
                  <a:p>
                    <a:pPr>
                      <a:defRPr sz="1000" b="0" i="0" u="none" strike="noStrike" baseline="0">
                        <a:solidFill>
                          <a:srgbClr val="000000"/>
                        </a:solidFill>
                        <a:latin typeface="Arial"/>
                        <a:ea typeface="Arial"/>
                        <a:cs typeface="Arial"/>
                      </a:defRPr>
                    </a:pPr>
                    <a:r>
                      <a:t>A</a:t>
                    </a:r>
                  </a:p>
                </c:rich>
              </c:tx>
              <c:spPr>
                <a:noFill/>
                <a:ln w="25400">
                  <a:noFill/>
                </a:ln>
              </c:spPr>
              <c:dLblPos val="l"/>
              <c:showLegendKey val="0"/>
              <c:showVal val="0"/>
              <c:showCatName val="0"/>
              <c:showSerName val="0"/>
              <c:showPercent val="0"/>
              <c:showBubbleSize val="0"/>
            </c:dLbl>
            <c:showLegendKey val="0"/>
            <c:showVal val="0"/>
            <c:showCatName val="0"/>
            <c:showSerName val="0"/>
            <c:showPercent val="0"/>
            <c:showBubbleSize val="0"/>
          </c:dLbls>
          <c:xVal>
            <c:numLit>
              <c:formatCode>General</c:formatCode>
              <c:ptCount val="2"/>
              <c:pt idx="0">
                <c:v>-6</c:v>
              </c:pt>
              <c:pt idx="1">
                <c:v>40</c:v>
              </c:pt>
            </c:numLit>
          </c:xVal>
          <c:yVal>
            <c:numLit>
              <c:formatCode>General</c:formatCode>
              <c:ptCount val="2"/>
              <c:pt idx="0">
                <c:v>5</c:v>
              </c:pt>
              <c:pt idx="1">
                <c:v>5</c:v>
              </c:pt>
            </c:numLit>
          </c:yVal>
          <c:smooth val="0"/>
        </c:ser>
        <c:ser>
          <c:idx val="1"/>
          <c:order val="1"/>
          <c:tx>
            <c:v>X_Beam2</c:v>
          </c:tx>
          <c:spPr>
            <a:ln w="12700">
              <a:solidFill>
                <a:srgbClr val="000000"/>
              </a:solidFill>
              <a:prstDash val="solid"/>
            </a:ln>
          </c:spPr>
          <c:marker>
            <c:symbol val="circle"/>
            <c:size val="6"/>
            <c:spPr>
              <a:solidFill>
                <a:srgbClr val="00CCFF"/>
              </a:solidFill>
              <a:ln>
                <a:solidFill>
                  <a:srgbClr val="000000"/>
                </a:solidFill>
                <a:prstDash val="solid"/>
              </a:ln>
            </c:spPr>
          </c:marker>
          <c:dLbls>
            <c:dLbl>
              <c:idx val="0"/>
              <c:tx>
                <c:rich>
                  <a:bodyPr/>
                  <a:lstStyle/>
                  <a:p>
                    <a:pPr>
                      <a:defRPr sz="1000" b="0" i="0" u="none" strike="noStrike" baseline="0">
                        <a:solidFill>
                          <a:srgbClr val="000000"/>
                        </a:solidFill>
                        <a:latin typeface="Arial"/>
                        <a:ea typeface="Arial"/>
                        <a:cs typeface="Arial"/>
                      </a:defRPr>
                    </a:pPr>
                    <a:r>
                      <a:t>B</a:t>
                    </a:r>
                  </a:p>
                </c:rich>
              </c:tx>
              <c:spPr>
                <a:noFill/>
                <a:ln w="25400">
                  <a:noFill/>
                </a:ln>
              </c:spPr>
              <c:dLblPos val="l"/>
              <c:showLegendKey val="0"/>
              <c:showVal val="0"/>
              <c:showCatName val="0"/>
              <c:showSerName val="0"/>
              <c:showPercent val="0"/>
              <c:showBubbleSize val="0"/>
            </c:dLbl>
            <c:showLegendKey val="0"/>
            <c:showVal val="0"/>
            <c:showCatName val="0"/>
            <c:showSerName val="0"/>
            <c:showPercent val="0"/>
            <c:showBubbleSize val="0"/>
          </c:dLbls>
          <c:xVal>
            <c:numLit>
              <c:formatCode>General</c:formatCode>
              <c:ptCount val="2"/>
              <c:pt idx="0">
                <c:v>-6</c:v>
              </c:pt>
              <c:pt idx="1">
                <c:v>40</c:v>
              </c:pt>
            </c:numLit>
          </c:xVal>
          <c:yVal>
            <c:numLit>
              <c:formatCode>General</c:formatCode>
              <c:ptCount val="2"/>
              <c:pt idx="0">
                <c:v>13</c:v>
              </c:pt>
              <c:pt idx="1">
                <c:v>13</c:v>
              </c:pt>
            </c:numLit>
          </c:yVal>
          <c:smooth val="0"/>
        </c:ser>
        <c:ser>
          <c:idx val="2"/>
          <c:order val="2"/>
          <c:tx>
            <c:v>X_Beam3</c:v>
          </c:tx>
          <c:spPr>
            <a:ln w="38100">
              <a:solidFill>
                <a:srgbClr val="000000"/>
              </a:solidFill>
              <a:prstDash val="solid"/>
            </a:ln>
          </c:spPr>
          <c:marker>
            <c:symbol val="circle"/>
            <c:size val="6"/>
            <c:spPr>
              <a:solidFill>
                <a:srgbClr val="00CCFF"/>
              </a:solidFill>
              <a:ln>
                <a:solidFill>
                  <a:srgbClr val="000000"/>
                </a:solidFill>
                <a:prstDash val="solid"/>
              </a:ln>
            </c:spPr>
          </c:marker>
          <c:dLbls>
            <c:dLbl>
              <c:idx val="0"/>
              <c:tx>
                <c:rich>
                  <a:bodyPr/>
                  <a:lstStyle/>
                  <a:p>
                    <a:pPr>
                      <a:defRPr sz="1000" b="0" i="0" u="none" strike="noStrike" baseline="0">
                        <a:solidFill>
                          <a:srgbClr val="000000"/>
                        </a:solidFill>
                        <a:latin typeface="Arial"/>
                        <a:ea typeface="Arial"/>
                        <a:cs typeface="Arial"/>
                      </a:defRPr>
                    </a:pPr>
                    <a:r>
                      <a:t>C</a:t>
                    </a:r>
                  </a:p>
                </c:rich>
              </c:tx>
              <c:spPr>
                <a:noFill/>
                <a:ln w="25400">
                  <a:noFill/>
                </a:ln>
              </c:spPr>
              <c:dLblPos val="l"/>
              <c:showLegendKey val="0"/>
              <c:showVal val="0"/>
              <c:showCatName val="0"/>
              <c:showSerName val="0"/>
              <c:showPercent val="0"/>
              <c:showBubbleSize val="0"/>
            </c:dLbl>
            <c:showLegendKey val="0"/>
            <c:showVal val="0"/>
            <c:showCatName val="0"/>
            <c:showSerName val="0"/>
            <c:showPercent val="0"/>
            <c:showBubbleSize val="0"/>
          </c:dLbls>
          <c:xVal>
            <c:numLit>
              <c:formatCode>General</c:formatCode>
              <c:ptCount val="2"/>
              <c:pt idx="0">
                <c:v>-6</c:v>
              </c:pt>
              <c:pt idx="1">
                <c:v>40</c:v>
              </c:pt>
            </c:numLit>
          </c:xVal>
          <c:yVal>
            <c:numLit>
              <c:formatCode>General</c:formatCode>
              <c:ptCount val="2"/>
              <c:pt idx="0">
                <c:v>17</c:v>
              </c:pt>
              <c:pt idx="1">
                <c:v>17</c:v>
              </c:pt>
            </c:numLit>
          </c:yVal>
          <c:smooth val="0"/>
        </c:ser>
        <c:ser>
          <c:idx val="3"/>
          <c:order val="3"/>
          <c:tx>
            <c:v>X_Beam4</c:v>
          </c:tx>
          <c:spPr>
            <a:ln w="12700">
              <a:solidFill>
                <a:srgbClr val="000000"/>
              </a:solidFill>
              <a:prstDash val="solid"/>
            </a:ln>
          </c:spPr>
          <c:marker>
            <c:symbol val="circle"/>
            <c:size val="6"/>
            <c:spPr>
              <a:solidFill>
                <a:srgbClr val="00CCFF"/>
              </a:solidFill>
              <a:ln>
                <a:solidFill>
                  <a:srgbClr val="000000"/>
                </a:solidFill>
                <a:prstDash val="solid"/>
              </a:ln>
            </c:spPr>
          </c:marker>
          <c:dLbls>
            <c:dLbl>
              <c:idx val="0"/>
              <c:tx>
                <c:rich>
                  <a:bodyPr/>
                  <a:lstStyle/>
                  <a:p>
                    <a:pPr>
                      <a:defRPr sz="1000" b="0" i="0" u="none" strike="noStrike" baseline="0">
                        <a:solidFill>
                          <a:srgbClr val="000000"/>
                        </a:solidFill>
                        <a:latin typeface="Arial"/>
                        <a:ea typeface="Arial"/>
                        <a:cs typeface="Arial"/>
                      </a:defRPr>
                    </a:pPr>
                    <a:r>
                      <a:t>D</a:t>
                    </a:r>
                  </a:p>
                </c:rich>
              </c:tx>
              <c:spPr>
                <a:noFill/>
                <a:ln w="25400">
                  <a:noFill/>
                </a:ln>
              </c:spPr>
              <c:dLblPos val="l"/>
              <c:showLegendKey val="0"/>
              <c:showVal val="0"/>
              <c:showCatName val="0"/>
              <c:showSerName val="0"/>
              <c:showPercent val="0"/>
              <c:showBubbleSize val="0"/>
            </c:dLbl>
            <c:showLegendKey val="0"/>
            <c:showVal val="0"/>
            <c:showCatName val="0"/>
            <c:showSerName val="0"/>
            <c:showPercent val="0"/>
            <c:showBubbleSize val="0"/>
          </c:dLbls>
          <c:xVal>
            <c:numLit>
              <c:formatCode>General</c:formatCode>
              <c:ptCount val="2"/>
              <c:pt idx="0">
                <c:v>-6</c:v>
              </c:pt>
              <c:pt idx="1">
                <c:v>40</c:v>
              </c:pt>
            </c:numLit>
          </c:xVal>
          <c:yVal>
            <c:numLit>
              <c:formatCode>General</c:formatCode>
              <c:ptCount val="2"/>
              <c:pt idx="0">
                <c:v>19</c:v>
              </c:pt>
              <c:pt idx="1">
                <c:v>19</c:v>
              </c:pt>
            </c:numLit>
          </c:yVal>
          <c:smooth val="0"/>
        </c:ser>
        <c:ser>
          <c:idx val="4"/>
          <c:order val="4"/>
          <c:tx>
            <c:v>X_Beam5</c:v>
          </c:tx>
          <c:spPr>
            <a:ln w="12700">
              <a:solidFill>
                <a:srgbClr val="000000"/>
              </a:solidFill>
              <a:prstDash val="solid"/>
            </a:ln>
          </c:spPr>
          <c:marker>
            <c:symbol val="circle"/>
            <c:size val="6"/>
            <c:spPr>
              <a:solidFill>
                <a:srgbClr val="00CCFF"/>
              </a:solidFill>
              <a:ln>
                <a:solidFill>
                  <a:srgbClr val="000000"/>
                </a:solidFill>
                <a:prstDash val="solid"/>
              </a:ln>
            </c:spPr>
          </c:marker>
          <c:dLbls>
            <c:dLbl>
              <c:idx val="0"/>
              <c:tx>
                <c:rich>
                  <a:bodyPr/>
                  <a:lstStyle/>
                  <a:p>
                    <a:pPr>
                      <a:defRPr sz="1000" b="0" i="0" u="none" strike="noStrike" baseline="0">
                        <a:solidFill>
                          <a:srgbClr val="000000"/>
                        </a:solidFill>
                        <a:latin typeface="Arial"/>
                        <a:ea typeface="Arial"/>
                        <a:cs typeface="Arial"/>
                      </a:defRPr>
                    </a:pPr>
                    <a:r>
                      <a:t>E</a:t>
                    </a:r>
                  </a:p>
                </c:rich>
              </c:tx>
              <c:spPr>
                <a:noFill/>
                <a:ln w="25400">
                  <a:noFill/>
                </a:ln>
              </c:spPr>
              <c:dLblPos val="l"/>
              <c:showLegendKey val="0"/>
              <c:showVal val="0"/>
              <c:showCatName val="0"/>
              <c:showSerName val="0"/>
              <c:showPercent val="0"/>
              <c:showBubbleSize val="0"/>
            </c:dLbl>
            <c:showLegendKey val="0"/>
            <c:showVal val="0"/>
            <c:showCatName val="0"/>
            <c:showSerName val="0"/>
            <c:showPercent val="0"/>
            <c:showBubbleSize val="0"/>
          </c:dLbls>
          <c:xVal>
            <c:numLit>
              <c:formatCode>General</c:formatCode>
              <c:ptCount val="2"/>
              <c:pt idx="0">
                <c:v>-6</c:v>
              </c:pt>
              <c:pt idx="1">
                <c:v>40</c:v>
              </c:pt>
            </c:numLit>
          </c:xVal>
          <c:yVal>
            <c:numLit>
              <c:formatCode>General</c:formatCode>
              <c:ptCount val="2"/>
              <c:pt idx="0">
                <c:v>21</c:v>
              </c:pt>
              <c:pt idx="1">
                <c:v>21</c:v>
              </c:pt>
            </c:numLit>
          </c:yVal>
          <c:smooth val="0"/>
        </c:ser>
        <c:ser>
          <c:idx val="5"/>
          <c:order val="5"/>
          <c:tx>
            <c:v>X_Beam6</c:v>
          </c:tx>
          <c:spPr>
            <a:ln w="38100">
              <a:solidFill>
                <a:srgbClr val="000000"/>
              </a:solidFill>
              <a:prstDash val="solid"/>
            </a:ln>
          </c:spPr>
          <c:marker>
            <c:symbol val="circle"/>
            <c:size val="6"/>
            <c:spPr>
              <a:solidFill>
                <a:srgbClr val="00CCFF"/>
              </a:solidFill>
              <a:ln>
                <a:solidFill>
                  <a:srgbClr val="000000"/>
                </a:solidFill>
                <a:prstDash val="solid"/>
              </a:ln>
            </c:spPr>
          </c:marker>
          <c:dLbls>
            <c:dLbl>
              <c:idx val="0"/>
              <c:tx>
                <c:rich>
                  <a:bodyPr/>
                  <a:lstStyle/>
                  <a:p>
                    <a:pPr>
                      <a:defRPr sz="1000" b="0" i="0" u="none" strike="noStrike" baseline="0">
                        <a:solidFill>
                          <a:srgbClr val="000000"/>
                        </a:solidFill>
                        <a:latin typeface="Arial"/>
                        <a:ea typeface="Arial"/>
                        <a:cs typeface="Arial"/>
                      </a:defRPr>
                    </a:pPr>
                    <a:r>
                      <a:t>F</a:t>
                    </a:r>
                  </a:p>
                </c:rich>
              </c:tx>
              <c:spPr>
                <a:noFill/>
                <a:ln w="25400">
                  <a:noFill/>
                </a:ln>
              </c:spPr>
              <c:dLblPos val="l"/>
              <c:showLegendKey val="0"/>
              <c:showVal val="0"/>
              <c:showCatName val="0"/>
              <c:showSerName val="0"/>
              <c:showPercent val="0"/>
              <c:showBubbleSize val="0"/>
            </c:dLbl>
            <c:showLegendKey val="0"/>
            <c:showVal val="0"/>
            <c:showCatName val="0"/>
            <c:showSerName val="0"/>
            <c:showPercent val="0"/>
            <c:showBubbleSize val="0"/>
          </c:dLbls>
          <c:xVal>
            <c:numLit>
              <c:formatCode>General</c:formatCode>
              <c:ptCount val="2"/>
              <c:pt idx="0">
                <c:v>-6</c:v>
              </c:pt>
              <c:pt idx="1">
                <c:v>40</c:v>
              </c:pt>
            </c:numLit>
          </c:xVal>
          <c:yVal>
            <c:numLit>
              <c:formatCode>General</c:formatCode>
              <c:ptCount val="2"/>
              <c:pt idx="0">
                <c:v>25</c:v>
              </c:pt>
              <c:pt idx="1">
                <c:v>25</c:v>
              </c:pt>
            </c:numLit>
          </c:yVal>
          <c:smooth val="0"/>
        </c:ser>
        <c:ser>
          <c:idx val="6"/>
          <c:order val="6"/>
          <c:tx>
            <c:v>X_Beam7</c:v>
          </c:tx>
          <c:spPr>
            <a:ln w="12700">
              <a:solidFill>
                <a:srgbClr val="000000"/>
              </a:solidFill>
              <a:prstDash val="solid"/>
            </a:ln>
          </c:spPr>
          <c:marker>
            <c:symbol val="circle"/>
            <c:size val="6"/>
            <c:spPr>
              <a:solidFill>
                <a:srgbClr val="00CCFF"/>
              </a:solidFill>
              <a:ln>
                <a:solidFill>
                  <a:srgbClr val="000000"/>
                </a:solidFill>
                <a:prstDash val="solid"/>
              </a:ln>
            </c:spPr>
          </c:marker>
          <c:dLbls>
            <c:dLbl>
              <c:idx val="0"/>
              <c:tx>
                <c:rich>
                  <a:bodyPr/>
                  <a:lstStyle/>
                  <a:p>
                    <a:pPr>
                      <a:defRPr sz="1000" b="0" i="0" u="none" strike="noStrike" baseline="0">
                        <a:solidFill>
                          <a:srgbClr val="000000"/>
                        </a:solidFill>
                        <a:latin typeface="Arial"/>
                        <a:ea typeface="Arial"/>
                        <a:cs typeface="Arial"/>
                      </a:defRPr>
                    </a:pPr>
                    <a:r>
                      <a:t>G</a:t>
                    </a:r>
                  </a:p>
                </c:rich>
              </c:tx>
              <c:spPr>
                <a:noFill/>
                <a:ln w="25400">
                  <a:noFill/>
                </a:ln>
              </c:spPr>
              <c:dLblPos val="l"/>
              <c:showLegendKey val="0"/>
              <c:showVal val="0"/>
              <c:showCatName val="0"/>
              <c:showSerName val="0"/>
              <c:showPercent val="0"/>
              <c:showBubbleSize val="0"/>
            </c:dLbl>
            <c:showLegendKey val="0"/>
            <c:showVal val="0"/>
            <c:showCatName val="0"/>
            <c:showSerName val="0"/>
            <c:showPercent val="0"/>
            <c:showBubbleSize val="0"/>
          </c:dLbls>
          <c:xVal>
            <c:numLit>
              <c:formatCode>General</c:formatCode>
              <c:ptCount val="2"/>
              <c:pt idx="0">
                <c:v>-6</c:v>
              </c:pt>
              <c:pt idx="1">
                <c:v>40</c:v>
              </c:pt>
            </c:numLit>
          </c:xVal>
          <c:yVal>
            <c:numLit>
              <c:formatCode>General</c:formatCode>
              <c:ptCount val="2"/>
              <c:pt idx="0">
                <c:v>29</c:v>
              </c:pt>
              <c:pt idx="1">
                <c:v>29</c:v>
              </c:pt>
            </c:numLit>
          </c:yVal>
          <c:smooth val="0"/>
        </c:ser>
        <c:ser>
          <c:idx val="7"/>
          <c:order val="7"/>
          <c:tx>
            <c:v>X_Beam8</c:v>
          </c:tx>
          <c:spPr>
            <a:ln w="38100">
              <a:solidFill>
                <a:srgbClr val="000000"/>
              </a:solidFill>
              <a:prstDash val="solid"/>
            </a:ln>
          </c:spPr>
          <c:marker>
            <c:symbol val="circle"/>
            <c:size val="6"/>
            <c:spPr>
              <a:solidFill>
                <a:srgbClr val="00CCFF"/>
              </a:solidFill>
              <a:ln>
                <a:solidFill>
                  <a:srgbClr val="000000"/>
                </a:solidFill>
                <a:prstDash val="solid"/>
              </a:ln>
            </c:spPr>
          </c:marker>
          <c:dLbls>
            <c:dLbl>
              <c:idx val="0"/>
              <c:tx>
                <c:rich>
                  <a:bodyPr/>
                  <a:lstStyle/>
                  <a:p>
                    <a:pPr>
                      <a:defRPr sz="1000" b="0" i="0" u="none" strike="noStrike" baseline="0">
                        <a:solidFill>
                          <a:srgbClr val="000000"/>
                        </a:solidFill>
                        <a:latin typeface="Arial"/>
                        <a:ea typeface="Arial"/>
                        <a:cs typeface="Arial"/>
                      </a:defRPr>
                    </a:pPr>
                    <a:r>
                      <a:t>H</a:t>
                    </a:r>
                  </a:p>
                </c:rich>
              </c:tx>
              <c:spPr>
                <a:noFill/>
                <a:ln w="25400">
                  <a:noFill/>
                </a:ln>
              </c:spPr>
              <c:dLblPos val="l"/>
              <c:showLegendKey val="0"/>
              <c:showVal val="0"/>
              <c:showCatName val="0"/>
              <c:showSerName val="0"/>
              <c:showPercent val="0"/>
              <c:showBubbleSize val="0"/>
            </c:dLbl>
            <c:showLegendKey val="0"/>
            <c:showVal val="0"/>
            <c:showCatName val="0"/>
            <c:showSerName val="0"/>
            <c:showPercent val="0"/>
            <c:showBubbleSize val="0"/>
          </c:dLbls>
          <c:xVal>
            <c:numLit>
              <c:formatCode>General</c:formatCode>
              <c:ptCount val="2"/>
              <c:pt idx="0">
                <c:v>-6</c:v>
              </c:pt>
              <c:pt idx="1">
                <c:v>40</c:v>
              </c:pt>
            </c:numLit>
          </c:xVal>
          <c:yVal>
            <c:numLit>
              <c:formatCode>General</c:formatCode>
              <c:ptCount val="2"/>
              <c:pt idx="0">
                <c:v>37</c:v>
              </c:pt>
              <c:pt idx="1">
                <c:v>37</c:v>
              </c:pt>
            </c:numLit>
          </c:yVal>
          <c:smooth val="0"/>
        </c:ser>
        <c:ser>
          <c:idx val="8"/>
          <c:order val="8"/>
          <c:tx>
            <c:v>Y_Beam1</c:v>
          </c:tx>
          <c:spPr>
            <a:ln w="38100">
              <a:solidFill>
                <a:srgbClr val="000000"/>
              </a:solidFill>
              <a:prstDash val="solid"/>
            </a:ln>
          </c:spPr>
          <c:marker>
            <c:symbol val="circle"/>
            <c:size val="6"/>
            <c:spPr>
              <a:solidFill>
                <a:srgbClr val="00CCFF"/>
              </a:solidFill>
              <a:ln>
                <a:solidFill>
                  <a:srgbClr val="000000"/>
                </a:solidFill>
                <a:prstDash val="solid"/>
              </a:ln>
            </c:spPr>
          </c:marker>
          <c:dLbls>
            <c:dLbl>
              <c:idx val="0"/>
              <c:tx>
                <c:rich>
                  <a:bodyPr/>
                  <a:lstStyle/>
                  <a:p>
                    <a:pPr>
                      <a:defRPr sz="1000" b="0" i="0" u="none" strike="noStrike" baseline="0">
                        <a:solidFill>
                          <a:srgbClr val="000000"/>
                        </a:solidFill>
                        <a:latin typeface="Arial"/>
                        <a:ea typeface="Arial"/>
                        <a:cs typeface="Arial"/>
                      </a:defRPr>
                    </a:pPr>
                    <a:r>
                      <a:t>1</a:t>
                    </a:r>
                  </a:p>
                </c:rich>
              </c:tx>
              <c:spPr>
                <a:noFill/>
                <a:ln w="25400">
                  <a:noFill/>
                </a:ln>
              </c:spPr>
              <c:dLblPos val="b"/>
              <c:showLegendKey val="0"/>
              <c:showVal val="0"/>
              <c:showCatName val="0"/>
              <c:showSerName val="0"/>
              <c:showPercent val="0"/>
              <c:showBubbleSize val="0"/>
            </c:dLbl>
            <c:showLegendKey val="0"/>
            <c:showVal val="0"/>
            <c:showCatName val="0"/>
            <c:showSerName val="0"/>
            <c:showPercent val="0"/>
            <c:showBubbleSize val="0"/>
          </c:dLbls>
          <c:xVal>
            <c:numLit>
              <c:formatCode>General</c:formatCode>
              <c:ptCount val="2"/>
              <c:pt idx="0">
                <c:v>-6</c:v>
              </c:pt>
              <c:pt idx="1">
                <c:v>-6</c:v>
              </c:pt>
            </c:numLit>
          </c:xVal>
          <c:yVal>
            <c:numLit>
              <c:formatCode>General</c:formatCode>
              <c:ptCount val="2"/>
              <c:pt idx="0">
                <c:v>5</c:v>
              </c:pt>
              <c:pt idx="1">
                <c:v>37</c:v>
              </c:pt>
            </c:numLit>
          </c:yVal>
          <c:smooth val="0"/>
        </c:ser>
        <c:ser>
          <c:idx val="9"/>
          <c:order val="9"/>
          <c:tx>
            <c:v>Y_Beam2</c:v>
          </c:tx>
          <c:spPr>
            <a:ln w="12700">
              <a:solidFill>
                <a:srgbClr val="000000"/>
              </a:solidFill>
              <a:prstDash val="solid"/>
            </a:ln>
          </c:spPr>
          <c:marker>
            <c:symbol val="circle"/>
            <c:size val="6"/>
            <c:spPr>
              <a:solidFill>
                <a:srgbClr val="00CCFF"/>
              </a:solidFill>
              <a:ln>
                <a:solidFill>
                  <a:srgbClr val="000000"/>
                </a:solidFill>
                <a:prstDash val="solid"/>
              </a:ln>
            </c:spPr>
          </c:marker>
          <c:dLbls>
            <c:dLbl>
              <c:idx val="0"/>
              <c:tx>
                <c:rich>
                  <a:bodyPr/>
                  <a:lstStyle/>
                  <a:p>
                    <a:pPr>
                      <a:defRPr sz="1000" b="0" i="0" u="none" strike="noStrike" baseline="0">
                        <a:solidFill>
                          <a:srgbClr val="000000"/>
                        </a:solidFill>
                        <a:latin typeface="Arial"/>
                        <a:ea typeface="Arial"/>
                        <a:cs typeface="Arial"/>
                      </a:defRPr>
                    </a:pPr>
                    <a:r>
                      <a:t>2</a:t>
                    </a:r>
                  </a:p>
                </c:rich>
              </c:tx>
              <c:spPr>
                <a:noFill/>
                <a:ln w="25400">
                  <a:noFill/>
                </a:ln>
              </c:spPr>
              <c:dLblPos val="b"/>
              <c:showLegendKey val="0"/>
              <c:showVal val="0"/>
              <c:showCatName val="0"/>
              <c:showSerName val="0"/>
              <c:showPercent val="0"/>
              <c:showBubbleSize val="0"/>
            </c:dLbl>
            <c:showLegendKey val="0"/>
            <c:showVal val="0"/>
            <c:showCatName val="0"/>
            <c:showSerName val="0"/>
            <c:showPercent val="0"/>
            <c:showBubbleSize val="0"/>
          </c:dLbls>
          <c:xVal>
            <c:numLit>
              <c:formatCode>General</c:formatCode>
              <c:ptCount val="2"/>
              <c:pt idx="0">
                <c:v>6</c:v>
              </c:pt>
              <c:pt idx="1">
                <c:v>6</c:v>
              </c:pt>
            </c:numLit>
          </c:xVal>
          <c:yVal>
            <c:numLit>
              <c:formatCode>General</c:formatCode>
              <c:ptCount val="2"/>
              <c:pt idx="0">
                <c:v>5</c:v>
              </c:pt>
              <c:pt idx="1">
                <c:v>37</c:v>
              </c:pt>
            </c:numLit>
          </c:yVal>
          <c:smooth val="0"/>
        </c:ser>
        <c:ser>
          <c:idx val="10"/>
          <c:order val="10"/>
          <c:tx>
            <c:v>Y_Beam3</c:v>
          </c:tx>
          <c:spPr>
            <a:ln w="38100">
              <a:solidFill>
                <a:srgbClr val="000000"/>
              </a:solidFill>
              <a:prstDash val="solid"/>
            </a:ln>
          </c:spPr>
          <c:marker>
            <c:symbol val="circle"/>
            <c:size val="6"/>
            <c:spPr>
              <a:solidFill>
                <a:srgbClr val="00CCFF"/>
              </a:solidFill>
              <a:ln>
                <a:solidFill>
                  <a:srgbClr val="000000"/>
                </a:solidFill>
                <a:prstDash val="solid"/>
              </a:ln>
            </c:spPr>
          </c:marker>
          <c:dLbls>
            <c:dLbl>
              <c:idx val="0"/>
              <c:tx>
                <c:rich>
                  <a:bodyPr/>
                  <a:lstStyle/>
                  <a:p>
                    <a:pPr>
                      <a:defRPr sz="1000" b="0" i="0" u="none" strike="noStrike" baseline="0">
                        <a:solidFill>
                          <a:srgbClr val="000000"/>
                        </a:solidFill>
                        <a:latin typeface="Arial"/>
                        <a:ea typeface="Arial"/>
                        <a:cs typeface="Arial"/>
                      </a:defRPr>
                    </a:pPr>
                    <a:r>
                      <a:t>3</a:t>
                    </a:r>
                  </a:p>
                </c:rich>
              </c:tx>
              <c:spPr>
                <a:noFill/>
                <a:ln w="25400">
                  <a:noFill/>
                </a:ln>
              </c:spPr>
              <c:dLblPos val="b"/>
              <c:showLegendKey val="0"/>
              <c:showVal val="0"/>
              <c:showCatName val="0"/>
              <c:showSerName val="0"/>
              <c:showPercent val="0"/>
              <c:showBubbleSize val="0"/>
            </c:dLbl>
            <c:showLegendKey val="0"/>
            <c:showVal val="0"/>
            <c:showCatName val="0"/>
            <c:showSerName val="0"/>
            <c:showPercent val="0"/>
            <c:showBubbleSize val="0"/>
          </c:dLbls>
          <c:xVal>
            <c:numLit>
              <c:formatCode>General</c:formatCode>
              <c:ptCount val="2"/>
              <c:pt idx="0">
                <c:v>11</c:v>
              </c:pt>
              <c:pt idx="1">
                <c:v>11</c:v>
              </c:pt>
            </c:numLit>
          </c:xVal>
          <c:yVal>
            <c:numLit>
              <c:formatCode>General</c:formatCode>
              <c:ptCount val="2"/>
              <c:pt idx="0">
                <c:v>5</c:v>
              </c:pt>
              <c:pt idx="1">
                <c:v>37</c:v>
              </c:pt>
            </c:numLit>
          </c:yVal>
          <c:smooth val="0"/>
        </c:ser>
        <c:ser>
          <c:idx val="11"/>
          <c:order val="11"/>
          <c:tx>
            <c:v>Y_Beam4</c:v>
          </c:tx>
          <c:spPr>
            <a:ln w="12700">
              <a:solidFill>
                <a:srgbClr val="000000"/>
              </a:solidFill>
              <a:prstDash val="solid"/>
            </a:ln>
          </c:spPr>
          <c:marker>
            <c:symbol val="circle"/>
            <c:size val="6"/>
            <c:spPr>
              <a:solidFill>
                <a:srgbClr val="00CCFF"/>
              </a:solidFill>
              <a:ln>
                <a:solidFill>
                  <a:srgbClr val="000000"/>
                </a:solidFill>
                <a:prstDash val="solid"/>
              </a:ln>
            </c:spPr>
          </c:marker>
          <c:dLbls>
            <c:dLbl>
              <c:idx val="0"/>
              <c:tx>
                <c:rich>
                  <a:bodyPr/>
                  <a:lstStyle/>
                  <a:p>
                    <a:pPr>
                      <a:defRPr sz="1000" b="0" i="0" u="none" strike="noStrike" baseline="0">
                        <a:solidFill>
                          <a:srgbClr val="000000"/>
                        </a:solidFill>
                        <a:latin typeface="Arial"/>
                        <a:ea typeface="Arial"/>
                        <a:cs typeface="Arial"/>
                      </a:defRPr>
                    </a:pPr>
                    <a:r>
                      <a:t>4</a:t>
                    </a:r>
                  </a:p>
                </c:rich>
              </c:tx>
              <c:spPr>
                <a:noFill/>
                <a:ln w="25400">
                  <a:noFill/>
                </a:ln>
              </c:spPr>
              <c:dLblPos val="b"/>
              <c:showLegendKey val="0"/>
              <c:showVal val="0"/>
              <c:showCatName val="0"/>
              <c:showSerName val="0"/>
              <c:showPercent val="0"/>
              <c:showBubbleSize val="0"/>
            </c:dLbl>
            <c:showLegendKey val="0"/>
            <c:showVal val="0"/>
            <c:showCatName val="0"/>
            <c:showSerName val="0"/>
            <c:showPercent val="0"/>
            <c:showBubbleSize val="0"/>
          </c:dLbls>
          <c:xVal>
            <c:numLit>
              <c:formatCode>General</c:formatCode>
              <c:ptCount val="2"/>
              <c:pt idx="0">
                <c:v>19</c:v>
              </c:pt>
              <c:pt idx="1">
                <c:v>19</c:v>
              </c:pt>
            </c:numLit>
          </c:xVal>
          <c:yVal>
            <c:numLit>
              <c:formatCode>General</c:formatCode>
              <c:ptCount val="2"/>
              <c:pt idx="0">
                <c:v>5</c:v>
              </c:pt>
              <c:pt idx="1">
                <c:v>37</c:v>
              </c:pt>
            </c:numLit>
          </c:yVal>
          <c:smooth val="0"/>
        </c:ser>
        <c:ser>
          <c:idx val="12"/>
          <c:order val="12"/>
          <c:tx>
            <c:v>Y_Beam5</c:v>
          </c:tx>
          <c:spPr>
            <a:ln w="38100">
              <a:solidFill>
                <a:srgbClr val="000000"/>
              </a:solidFill>
              <a:prstDash val="solid"/>
            </a:ln>
          </c:spPr>
          <c:marker>
            <c:symbol val="circle"/>
            <c:size val="6"/>
            <c:spPr>
              <a:solidFill>
                <a:srgbClr val="00CCFF"/>
              </a:solidFill>
              <a:ln>
                <a:solidFill>
                  <a:srgbClr val="000000"/>
                </a:solidFill>
                <a:prstDash val="solid"/>
              </a:ln>
            </c:spPr>
          </c:marker>
          <c:dLbls>
            <c:dLbl>
              <c:idx val="0"/>
              <c:tx>
                <c:rich>
                  <a:bodyPr/>
                  <a:lstStyle/>
                  <a:p>
                    <a:pPr>
                      <a:defRPr sz="1000" b="0" i="0" u="none" strike="noStrike" baseline="0">
                        <a:solidFill>
                          <a:srgbClr val="000000"/>
                        </a:solidFill>
                        <a:latin typeface="Arial"/>
                        <a:ea typeface="Arial"/>
                        <a:cs typeface="Arial"/>
                      </a:defRPr>
                    </a:pPr>
                    <a:r>
                      <a:t>5</a:t>
                    </a:r>
                  </a:p>
                </c:rich>
              </c:tx>
              <c:spPr>
                <a:noFill/>
                <a:ln w="25400">
                  <a:noFill/>
                </a:ln>
              </c:spPr>
              <c:dLblPos val="b"/>
              <c:showLegendKey val="0"/>
              <c:showVal val="0"/>
              <c:showCatName val="0"/>
              <c:showSerName val="0"/>
              <c:showPercent val="0"/>
              <c:showBubbleSize val="0"/>
            </c:dLbl>
            <c:showLegendKey val="0"/>
            <c:showVal val="0"/>
            <c:showCatName val="0"/>
            <c:showSerName val="0"/>
            <c:showPercent val="0"/>
            <c:showBubbleSize val="0"/>
          </c:dLbls>
          <c:xVal>
            <c:numLit>
              <c:formatCode>General</c:formatCode>
              <c:ptCount val="2"/>
              <c:pt idx="0">
                <c:v>23</c:v>
              </c:pt>
              <c:pt idx="1">
                <c:v>23</c:v>
              </c:pt>
            </c:numLit>
          </c:xVal>
          <c:yVal>
            <c:numLit>
              <c:formatCode>General</c:formatCode>
              <c:ptCount val="2"/>
              <c:pt idx="0">
                <c:v>5</c:v>
              </c:pt>
              <c:pt idx="1">
                <c:v>37</c:v>
              </c:pt>
            </c:numLit>
          </c:yVal>
          <c:smooth val="0"/>
        </c:ser>
        <c:ser>
          <c:idx val="13"/>
          <c:order val="13"/>
          <c:tx>
            <c:v>Y_Beam6</c:v>
          </c:tx>
          <c:spPr>
            <a:ln w="12700">
              <a:solidFill>
                <a:srgbClr val="000000"/>
              </a:solidFill>
              <a:prstDash val="solid"/>
            </a:ln>
          </c:spPr>
          <c:marker>
            <c:symbol val="circle"/>
            <c:size val="6"/>
            <c:spPr>
              <a:solidFill>
                <a:srgbClr val="00CCFF"/>
              </a:solidFill>
              <a:ln>
                <a:solidFill>
                  <a:srgbClr val="000000"/>
                </a:solidFill>
                <a:prstDash val="solid"/>
              </a:ln>
            </c:spPr>
          </c:marker>
          <c:dLbls>
            <c:dLbl>
              <c:idx val="0"/>
              <c:tx>
                <c:rich>
                  <a:bodyPr/>
                  <a:lstStyle/>
                  <a:p>
                    <a:pPr>
                      <a:defRPr sz="1000" b="0" i="0" u="none" strike="noStrike" baseline="0">
                        <a:solidFill>
                          <a:srgbClr val="000000"/>
                        </a:solidFill>
                        <a:latin typeface="Arial"/>
                        <a:ea typeface="Arial"/>
                        <a:cs typeface="Arial"/>
                      </a:defRPr>
                    </a:pPr>
                    <a:r>
                      <a:t>6</a:t>
                    </a:r>
                  </a:p>
                </c:rich>
              </c:tx>
              <c:spPr>
                <a:noFill/>
                <a:ln w="25400">
                  <a:noFill/>
                </a:ln>
              </c:spPr>
              <c:dLblPos val="b"/>
              <c:showLegendKey val="0"/>
              <c:showVal val="0"/>
              <c:showCatName val="0"/>
              <c:showSerName val="0"/>
              <c:showPercent val="0"/>
              <c:showBubbleSize val="0"/>
            </c:dLbl>
            <c:showLegendKey val="0"/>
            <c:showVal val="0"/>
            <c:showCatName val="0"/>
            <c:showSerName val="0"/>
            <c:showPercent val="0"/>
            <c:showBubbleSize val="0"/>
          </c:dLbls>
          <c:xVal>
            <c:numLit>
              <c:formatCode>General</c:formatCode>
              <c:ptCount val="2"/>
              <c:pt idx="0">
                <c:v>27</c:v>
              </c:pt>
              <c:pt idx="1">
                <c:v>27</c:v>
              </c:pt>
            </c:numLit>
          </c:xVal>
          <c:yVal>
            <c:numLit>
              <c:formatCode>General</c:formatCode>
              <c:ptCount val="2"/>
              <c:pt idx="0">
                <c:v>5</c:v>
              </c:pt>
              <c:pt idx="1">
                <c:v>37</c:v>
              </c:pt>
            </c:numLit>
          </c:yVal>
          <c:smooth val="0"/>
        </c:ser>
        <c:ser>
          <c:idx val="14"/>
          <c:order val="14"/>
          <c:tx>
            <c:v>Y_Beam7</c:v>
          </c:tx>
          <c:spPr>
            <a:ln w="38100">
              <a:solidFill>
                <a:srgbClr val="000000"/>
              </a:solidFill>
              <a:prstDash val="solid"/>
            </a:ln>
          </c:spPr>
          <c:marker>
            <c:symbol val="circle"/>
            <c:size val="6"/>
            <c:spPr>
              <a:solidFill>
                <a:srgbClr val="00CCFF"/>
              </a:solidFill>
              <a:ln>
                <a:solidFill>
                  <a:srgbClr val="000000"/>
                </a:solidFill>
                <a:prstDash val="solid"/>
              </a:ln>
            </c:spPr>
          </c:marker>
          <c:dLbls>
            <c:dLbl>
              <c:idx val="0"/>
              <c:tx>
                <c:rich>
                  <a:bodyPr/>
                  <a:lstStyle/>
                  <a:p>
                    <a:pPr>
                      <a:defRPr sz="1000" b="0" i="0" u="none" strike="noStrike" baseline="0">
                        <a:solidFill>
                          <a:srgbClr val="000000"/>
                        </a:solidFill>
                        <a:latin typeface="Arial"/>
                        <a:ea typeface="Arial"/>
                        <a:cs typeface="Arial"/>
                      </a:defRPr>
                    </a:pPr>
                    <a:r>
                      <a:t>7</a:t>
                    </a:r>
                  </a:p>
                </c:rich>
              </c:tx>
              <c:spPr>
                <a:noFill/>
                <a:ln w="25400">
                  <a:noFill/>
                </a:ln>
              </c:spPr>
              <c:dLblPos val="b"/>
              <c:showLegendKey val="0"/>
              <c:showVal val="0"/>
              <c:showCatName val="0"/>
              <c:showSerName val="0"/>
              <c:showPercent val="0"/>
              <c:showBubbleSize val="0"/>
            </c:dLbl>
            <c:showLegendKey val="0"/>
            <c:showVal val="0"/>
            <c:showCatName val="0"/>
            <c:showSerName val="0"/>
            <c:showPercent val="0"/>
            <c:showBubbleSize val="0"/>
          </c:dLbls>
          <c:xVal>
            <c:numLit>
              <c:formatCode>General</c:formatCode>
              <c:ptCount val="2"/>
              <c:pt idx="0">
                <c:v>35</c:v>
              </c:pt>
              <c:pt idx="1">
                <c:v>35</c:v>
              </c:pt>
            </c:numLit>
          </c:xVal>
          <c:yVal>
            <c:numLit>
              <c:formatCode>General</c:formatCode>
              <c:ptCount val="2"/>
              <c:pt idx="0">
                <c:v>5</c:v>
              </c:pt>
              <c:pt idx="1">
                <c:v>37</c:v>
              </c:pt>
            </c:numLit>
          </c:yVal>
          <c:smooth val="0"/>
        </c:ser>
        <c:ser>
          <c:idx val="15"/>
          <c:order val="15"/>
          <c:tx>
            <c:v>Y_Beam8</c:v>
          </c:tx>
          <c:spPr>
            <a:ln w="38100">
              <a:solidFill>
                <a:srgbClr val="000000"/>
              </a:solidFill>
              <a:prstDash val="solid"/>
            </a:ln>
          </c:spPr>
          <c:marker>
            <c:symbol val="circle"/>
            <c:size val="6"/>
            <c:spPr>
              <a:solidFill>
                <a:srgbClr val="00CCFF"/>
              </a:solidFill>
              <a:ln>
                <a:solidFill>
                  <a:srgbClr val="000000"/>
                </a:solidFill>
                <a:prstDash val="solid"/>
              </a:ln>
            </c:spPr>
          </c:marker>
          <c:dLbls>
            <c:dLbl>
              <c:idx val="0"/>
              <c:tx>
                <c:rich>
                  <a:bodyPr/>
                  <a:lstStyle/>
                  <a:p>
                    <a:pPr>
                      <a:defRPr sz="1000" b="0" i="0" u="none" strike="noStrike" baseline="0">
                        <a:solidFill>
                          <a:srgbClr val="000000"/>
                        </a:solidFill>
                        <a:latin typeface="Arial"/>
                        <a:ea typeface="Arial"/>
                        <a:cs typeface="Arial"/>
                      </a:defRPr>
                    </a:pPr>
                    <a:r>
                      <a:t>8</a:t>
                    </a:r>
                  </a:p>
                </c:rich>
              </c:tx>
              <c:spPr>
                <a:noFill/>
                <a:ln w="25400">
                  <a:noFill/>
                </a:ln>
              </c:spPr>
              <c:dLblPos val="b"/>
              <c:showLegendKey val="0"/>
              <c:showVal val="0"/>
              <c:showCatName val="0"/>
              <c:showSerName val="0"/>
              <c:showPercent val="0"/>
              <c:showBubbleSize val="0"/>
            </c:dLbl>
            <c:showLegendKey val="0"/>
            <c:showVal val="0"/>
            <c:showCatName val="0"/>
            <c:showSerName val="0"/>
            <c:showPercent val="0"/>
            <c:showBubbleSize val="0"/>
          </c:dLbls>
          <c:xVal>
            <c:numLit>
              <c:formatCode>General</c:formatCode>
              <c:ptCount val="2"/>
              <c:pt idx="0">
                <c:v>40</c:v>
              </c:pt>
              <c:pt idx="1">
                <c:v>40</c:v>
              </c:pt>
            </c:numLit>
          </c:xVal>
          <c:yVal>
            <c:numLit>
              <c:formatCode>General</c:formatCode>
              <c:ptCount val="2"/>
              <c:pt idx="0">
                <c:v>5</c:v>
              </c:pt>
              <c:pt idx="1">
                <c:v>37</c:v>
              </c:pt>
            </c:numLit>
          </c:yVal>
          <c:smooth val="0"/>
        </c:ser>
        <c:dLbls>
          <c:showLegendKey val="0"/>
          <c:showVal val="0"/>
          <c:showCatName val="0"/>
          <c:showSerName val="0"/>
          <c:showPercent val="0"/>
          <c:showBubbleSize val="0"/>
        </c:dLbls>
        <c:axId val="163853824"/>
        <c:axId val="163855744"/>
      </c:scatterChart>
      <c:valAx>
        <c:axId val="163853824"/>
        <c:scaling>
          <c:orientation val="minMax"/>
          <c:max val="50"/>
          <c:min val="-10"/>
        </c:scaling>
        <c:delete val="0"/>
        <c:axPos val="b"/>
        <c:title>
          <c:tx>
            <c:rich>
              <a:bodyPr/>
              <a:lstStyle/>
              <a:p>
                <a:pPr>
                  <a:defRPr sz="1000" b="1" i="0" u="none" strike="noStrike" baseline="0">
                    <a:solidFill>
                      <a:srgbClr val="000000"/>
                    </a:solidFill>
                    <a:latin typeface="Arial"/>
                    <a:ea typeface="Arial"/>
                    <a:cs typeface="Arial"/>
                  </a:defRPr>
                </a:pPr>
                <a:r>
                  <a:rPr lang="nb-NO"/>
                  <a:t>X Axis</a:t>
                </a:r>
              </a:p>
            </c:rich>
          </c:tx>
          <c:layout>
            <c:manualLayout>
              <c:xMode val="edge"/>
              <c:yMode val="edge"/>
              <c:x val="0.49294142349853326"/>
              <c:y val="0.9325044404973357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b-NO"/>
          </a:p>
        </c:txPr>
        <c:crossAx val="163855744"/>
        <c:crosses val="autoZero"/>
        <c:crossBetween val="midCat"/>
      </c:valAx>
      <c:valAx>
        <c:axId val="163855744"/>
        <c:scaling>
          <c:orientation val="minMax"/>
          <c:max val="50"/>
          <c:min val="0"/>
        </c:scaling>
        <c:delete val="0"/>
        <c:axPos val="l"/>
        <c:title>
          <c:tx>
            <c:rich>
              <a:bodyPr/>
              <a:lstStyle/>
              <a:p>
                <a:pPr>
                  <a:defRPr sz="1000" b="1" i="0" u="none" strike="noStrike" baseline="0">
                    <a:solidFill>
                      <a:srgbClr val="000000"/>
                    </a:solidFill>
                    <a:latin typeface="Arial"/>
                    <a:ea typeface="Arial"/>
                    <a:cs typeface="Arial"/>
                  </a:defRPr>
                </a:pPr>
                <a:r>
                  <a:rPr lang="nb-NO"/>
                  <a:t>Y Axis</a:t>
                </a:r>
              </a:p>
            </c:rich>
          </c:tx>
          <c:layout>
            <c:manualLayout>
              <c:xMode val="edge"/>
              <c:yMode val="edge"/>
              <c:x val="1.6470588235294119E-2"/>
              <c:y val="0.4387211367673179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b-NO"/>
          </a:p>
        </c:txPr>
        <c:crossAx val="163853824"/>
        <c:crosses val="autoZero"/>
        <c:crossBetween val="midCat"/>
      </c:valAx>
      <c:spPr>
        <a:solidFill>
          <a:srgbClr val="CCFFFF"/>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nb-NO"/>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nb-NO"/>
              <a:t>YZ Plot</a:t>
            </a:r>
          </a:p>
        </c:rich>
      </c:tx>
      <c:layout>
        <c:manualLayout>
          <c:xMode val="edge"/>
          <c:yMode val="edge"/>
          <c:x val="0.46953803568671565"/>
          <c:y val="3.1496062992125984E-2"/>
        </c:manualLayout>
      </c:layout>
      <c:overlay val="0"/>
      <c:spPr>
        <a:noFill/>
        <a:ln w="25400">
          <a:noFill/>
        </a:ln>
      </c:spPr>
    </c:title>
    <c:autoTitleDeleted val="0"/>
    <c:plotArea>
      <c:layout>
        <c:manualLayout>
          <c:layoutTarget val="inner"/>
          <c:xMode val="edge"/>
          <c:yMode val="edge"/>
          <c:x val="5.1470614634596693E-2"/>
          <c:y val="0.11286118166928537"/>
          <c:w val="0.93172316695688295"/>
          <c:h val="0.70866323373737317"/>
        </c:manualLayout>
      </c:layout>
      <c:scatterChart>
        <c:scatterStyle val="lineMarker"/>
        <c:varyColors val="0"/>
        <c:ser>
          <c:idx val="0"/>
          <c:order val="0"/>
          <c:tx>
            <c:v>Leg1</c:v>
          </c:tx>
          <c:spPr>
            <a:ln w="38100">
              <a:solidFill>
                <a:srgbClr val="000000"/>
              </a:solidFill>
              <a:prstDash val="solid"/>
            </a:ln>
          </c:spPr>
          <c:marker>
            <c:symbol val="circle"/>
            <c:size val="6"/>
            <c:spPr>
              <a:solidFill>
                <a:srgbClr val="00CCFF"/>
              </a:solidFill>
              <a:ln>
                <a:solidFill>
                  <a:srgbClr val="000000"/>
                </a:solidFill>
                <a:prstDash val="solid"/>
              </a:ln>
            </c:spPr>
          </c:marker>
          <c:dLbls>
            <c:dLbl>
              <c:idx val="0"/>
              <c:tx>
                <c:rich>
                  <a:bodyPr/>
                  <a:lstStyle/>
                  <a:p>
                    <a:pPr>
                      <a:defRPr sz="1000" b="0" i="0" u="none" strike="noStrike" baseline="0">
                        <a:solidFill>
                          <a:srgbClr val="000000"/>
                        </a:solidFill>
                        <a:latin typeface="Arial"/>
                        <a:ea typeface="Arial"/>
                        <a:cs typeface="Arial"/>
                      </a:defRPr>
                    </a:pPr>
                    <a:r>
                      <a:t>A</a:t>
                    </a:r>
                  </a:p>
                </c:rich>
              </c:tx>
              <c:spPr>
                <a:noFill/>
                <a:ln w="25400">
                  <a:noFill/>
                </a:ln>
              </c:spPr>
              <c:showLegendKey val="0"/>
              <c:showVal val="0"/>
              <c:showCatName val="0"/>
              <c:showSerName val="0"/>
              <c:showPercent val="0"/>
              <c:showBubbleSize val="0"/>
            </c:dLbl>
            <c:showLegendKey val="0"/>
            <c:showVal val="0"/>
            <c:showCatName val="0"/>
            <c:showSerName val="0"/>
            <c:showPercent val="0"/>
            <c:showBubbleSize val="0"/>
          </c:dLbls>
          <c:xVal>
            <c:numLit>
              <c:formatCode>General</c:formatCode>
              <c:ptCount val="2"/>
              <c:pt idx="0">
                <c:v>5</c:v>
              </c:pt>
              <c:pt idx="1">
                <c:v>5</c:v>
              </c:pt>
            </c:numLit>
          </c:xVal>
          <c:yVal>
            <c:numLit>
              <c:formatCode>General</c:formatCode>
              <c:ptCount val="2"/>
              <c:pt idx="0">
                <c:v>128</c:v>
              </c:pt>
              <c:pt idx="1">
                <c:v>148</c:v>
              </c:pt>
            </c:numLit>
          </c:yVal>
          <c:smooth val="0"/>
        </c:ser>
        <c:ser>
          <c:idx val="1"/>
          <c:order val="1"/>
          <c:tx>
            <c:v>Leg2</c:v>
          </c:tx>
          <c:spPr>
            <a:ln w="38100">
              <a:solidFill>
                <a:srgbClr val="000000"/>
              </a:solidFill>
              <a:prstDash val="solid"/>
            </a:ln>
          </c:spPr>
          <c:marker>
            <c:symbol val="circle"/>
            <c:size val="6"/>
            <c:spPr>
              <a:solidFill>
                <a:srgbClr val="FF0000"/>
              </a:solidFill>
              <a:ln>
                <a:solidFill>
                  <a:srgbClr val="000000"/>
                </a:solidFill>
                <a:prstDash val="solid"/>
              </a:ln>
            </c:spPr>
          </c:marker>
          <c:dLbls>
            <c:dLbl>
              <c:idx val="0"/>
              <c:tx>
                <c:rich>
                  <a:bodyPr/>
                  <a:lstStyle/>
                  <a:p>
                    <a:pPr>
                      <a:defRPr sz="1000" b="0" i="0" u="none" strike="noStrike" baseline="0">
                        <a:solidFill>
                          <a:srgbClr val="000000"/>
                        </a:solidFill>
                        <a:latin typeface="Arial"/>
                        <a:ea typeface="Arial"/>
                        <a:cs typeface="Arial"/>
                      </a:defRPr>
                    </a:pPr>
                    <a:r>
                      <a:t>B</a:t>
                    </a:r>
                  </a:p>
                </c:rich>
              </c:tx>
              <c:spPr>
                <a:noFill/>
                <a:ln w="25400">
                  <a:noFill/>
                </a:ln>
              </c:spPr>
              <c:showLegendKey val="0"/>
              <c:showVal val="0"/>
              <c:showCatName val="0"/>
              <c:showSerName val="0"/>
              <c:showPercent val="0"/>
              <c:showBubbleSize val="0"/>
            </c:dLbl>
            <c:dLbl>
              <c:idx val="1"/>
              <c:tx>
                <c:rich>
                  <a:bodyPr rot="-5400000" vert="horz"/>
                  <a:lstStyle/>
                  <a:p>
                    <a:pPr algn="ctr">
                      <a:defRPr sz="1000" b="0" i="0" u="none" strike="noStrike" baseline="0">
                        <a:solidFill>
                          <a:srgbClr val="000000"/>
                        </a:solidFill>
                        <a:latin typeface="Arial"/>
                        <a:ea typeface="Arial"/>
                        <a:cs typeface="Arial"/>
                      </a:defRPr>
                    </a:pPr>
                    <a:r>
                      <a:t>No Beam</a:t>
                    </a:r>
                  </a:p>
                </c:rich>
              </c:tx>
              <c:spPr>
                <a:noFill/>
                <a:ln w="25400">
                  <a:noFill/>
                </a:ln>
              </c:spPr>
              <c:dLblPos val="t"/>
              <c:showLegendKey val="0"/>
              <c:showVal val="0"/>
              <c:showCatName val="0"/>
              <c:showSerName val="0"/>
              <c:showPercent val="0"/>
              <c:showBubbleSize val="0"/>
            </c:dLbl>
            <c:showLegendKey val="0"/>
            <c:showVal val="0"/>
            <c:showCatName val="0"/>
            <c:showSerName val="0"/>
            <c:showPercent val="0"/>
            <c:showBubbleSize val="0"/>
          </c:dLbls>
          <c:xVal>
            <c:numLit>
              <c:formatCode>General</c:formatCode>
              <c:ptCount val="2"/>
              <c:pt idx="0">
                <c:v>13</c:v>
              </c:pt>
              <c:pt idx="1">
                <c:v>13</c:v>
              </c:pt>
            </c:numLit>
          </c:xVal>
          <c:yVal>
            <c:numLit>
              <c:formatCode>General</c:formatCode>
              <c:ptCount val="2"/>
              <c:pt idx="0">
                <c:v>128</c:v>
              </c:pt>
              <c:pt idx="1">
                <c:v>148</c:v>
              </c:pt>
            </c:numLit>
          </c:yVal>
          <c:smooth val="0"/>
        </c:ser>
        <c:ser>
          <c:idx val="2"/>
          <c:order val="2"/>
          <c:tx>
            <c:v>Leg3</c:v>
          </c:tx>
          <c:spPr>
            <a:ln w="38100">
              <a:solidFill>
                <a:srgbClr val="000000"/>
              </a:solidFill>
              <a:prstDash val="solid"/>
            </a:ln>
          </c:spPr>
          <c:marker>
            <c:symbol val="circle"/>
            <c:size val="6"/>
            <c:spPr>
              <a:solidFill>
                <a:srgbClr val="00CCFF"/>
              </a:solidFill>
              <a:ln>
                <a:solidFill>
                  <a:srgbClr val="000000"/>
                </a:solidFill>
                <a:prstDash val="solid"/>
              </a:ln>
            </c:spPr>
          </c:marker>
          <c:dLbls>
            <c:dLbl>
              <c:idx val="0"/>
              <c:tx>
                <c:rich>
                  <a:bodyPr/>
                  <a:lstStyle/>
                  <a:p>
                    <a:pPr>
                      <a:defRPr sz="1000" b="0" i="0" u="none" strike="noStrike" baseline="0">
                        <a:solidFill>
                          <a:srgbClr val="000000"/>
                        </a:solidFill>
                        <a:latin typeface="Arial"/>
                        <a:ea typeface="Arial"/>
                        <a:cs typeface="Arial"/>
                      </a:defRPr>
                    </a:pPr>
                    <a:r>
                      <a:t>C</a:t>
                    </a:r>
                  </a:p>
                </c:rich>
              </c:tx>
              <c:spPr>
                <a:noFill/>
                <a:ln w="25400">
                  <a:noFill/>
                </a:ln>
              </c:spPr>
              <c:showLegendKey val="0"/>
              <c:showVal val="0"/>
              <c:showCatName val="0"/>
              <c:showSerName val="0"/>
              <c:showPercent val="0"/>
              <c:showBubbleSize val="0"/>
            </c:dLbl>
            <c:showLegendKey val="0"/>
            <c:showVal val="0"/>
            <c:showCatName val="0"/>
            <c:showSerName val="0"/>
            <c:showPercent val="0"/>
            <c:showBubbleSize val="0"/>
          </c:dLbls>
          <c:xVal>
            <c:numLit>
              <c:formatCode>General</c:formatCode>
              <c:ptCount val="2"/>
              <c:pt idx="0">
                <c:v>17</c:v>
              </c:pt>
              <c:pt idx="1">
                <c:v>17</c:v>
              </c:pt>
            </c:numLit>
          </c:xVal>
          <c:yVal>
            <c:numLit>
              <c:formatCode>General</c:formatCode>
              <c:ptCount val="2"/>
              <c:pt idx="0">
                <c:v>128</c:v>
              </c:pt>
              <c:pt idx="1">
                <c:v>148</c:v>
              </c:pt>
            </c:numLit>
          </c:yVal>
          <c:smooth val="0"/>
        </c:ser>
        <c:ser>
          <c:idx val="3"/>
          <c:order val="3"/>
          <c:tx>
            <c:v>Leg4</c:v>
          </c:tx>
          <c:spPr>
            <a:ln w="12700">
              <a:solidFill>
                <a:srgbClr val="000000"/>
              </a:solidFill>
              <a:prstDash val="solid"/>
            </a:ln>
          </c:spPr>
          <c:marker>
            <c:symbol val="circle"/>
            <c:size val="6"/>
            <c:spPr>
              <a:solidFill>
                <a:srgbClr val="FF0000"/>
              </a:solidFill>
              <a:ln>
                <a:solidFill>
                  <a:srgbClr val="000000"/>
                </a:solidFill>
                <a:prstDash val="solid"/>
              </a:ln>
            </c:spPr>
          </c:marker>
          <c:dLbls>
            <c:dLbl>
              <c:idx val="0"/>
              <c:tx>
                <c:rich>
                  <a:bodyPr/>
                  <a:lstStyle/>
                  <a:p>
                    <a:pPr>
                      <a:defRPr sz="1000" b="0" i="0" u="none" strike="noStrike" baseline="0">
                        <a:solidFill>
                          <a:srgbClr val="000000"/>
                        </a:solidFill>
                        <a:latin typeface="Arial"/>
                        <a:ea typeface="Arial"/>
                        <a:cs typeface="Arial"/>
                      </a:defRPr>
                    </a:pPr>
                    <a:r>
                      <a:t>D</a:t>
                    </a:r>
                  </a:p>
                </c:rich>
              </c:tx>
              <c:spPr>
                <a:noFill/>
                <a:ln w="25400">
                  <a:noFill/>
                </a:ln>
              </c:spPr>
              <c:showLegendKey val="0"/>
              <c:showVal val="0"/>
              <c:showCatName val="0"/>
              <c:showSerName val="0"/>
              <c:showPercent val="0"/>
              <c:showBubbleSize val="0"/>
            </c:dLbl>
            <c:dLbl>
              <c:idx val="1"/>
              <c:tx>
                <c:rich>
                  <a:bodyPr rot="-5400000" vert="horz"/>
                  <a:lstStyle/>
                  <a:p>
                    <a:pPr algn="ctr">
                      <a:defRPr sz="1000" b="0" i="0" u="none" strike="noStrike" baseline="0">
                        <a:solidFill>
                          <a:srgbClr val="000000"/>
                        </a:solidFill>
                        <a:latin typeface="Arial"/>
                        <a:ea typeface="Arial"/>
                        <a:cs typeface="Arial"/>
                      </a:defRPr>
                    </a:pPr>
                    <a:r>
                      <a:t>No Beam</a:t>
                    </a:r>
                  </a:p>
                </c:rich>
              </c:tx>
              <c:spPr>
                <a:noFill/>
                <a:ln w="25400">
                  <a:noFill/>
                </a:ln>
              </c:spPr>
              <c:dLblPos val="t"/>
              <c:showLegendKey val="0"/>
              <c:showVal val="0"/>
              <c:showCatName val="0"/>
              <c:showSerName val="0"/>
              <c:showPercent val="0"/>
              <c:showBubbleSize val="0"/>
            </c:dLbl>
            <c:showLegendKey val="0"/>
            <c:showVal val="0"/>
            <c:showCatName val="0"/>
            <c:showSerName val="0"/>
            <c:showPercent val="0"/>
            <c:showBubbleSize val="0"/>
          </c:dLbls>
          <c:xVal>
            <c:numLit>
              <c:formatCode>General</c:formatCode>
              <c:ptCount val="2"/>
              <c:pt idx="0">
                <c:v>19</c:v>
              </c:pt>
              <c:pt idx="1">
                <c:v>19</c:v>
              </c:pt>
            </c:numLit>
          </c:xVal>
          <c:yVal>
            <c:numLit>
              <c:formatCode>General</c:formatCode>
              <c:ptCount val="2"/>
              <c:pt idx="0">
                <c:v>128</c:v>
              </c:pt>
              <c:pt idx="1">
                <c:v>148</c:v>
              </c:pt>
            </c:numLit>
          </c:yVal>
          <c:smooth val="0"/>
        </c:ser>
        <c:ser>
          <c:idx val="4"/>
          <c:order val="4"/>
          <c:tx>
            <c:v>Leg5</c:v>
          </c:tx>
          <c:spPr>
            <a:ln w="12700">
              <a:solidFill>
                <a:srgbClr val="000000"/>
              </a:solidFill>
              <a:prstDash val="solid"/>
            </a:ln>
          </c:spPr>
          <c:marker>
            <c:symbol val="circle"/>
            <c:size val="6"/>
            <c:spPr>
              <a:solidFill>
                <a:srgbClr val="FF0000"/>
              </a:solidFill>
              <a:ln>
                <a:solidFill>
                  <a:srgbClr val="000000"/>
                </a:solidFill>
                <a:prstDash val="solid"/>
              </a:ln>
            </c:spPr>
          </c:marker>
          <c:dLbls>
            <c:dLbl>
              <c:idx val="0"/>
              <c:tx>
                <c:rich>
                  <a:bodyPr/>
                  <a:lstStyle/>
                  <a:p>
                    <a:pPr>
                      <a:defRPr sz="1000" b="0" i="0" u="none" strike="noStrike" baseline="0">
                        <a:solidFill>
                          <a:srgbClr val="000000"/>
                        </a:solidFill>
                        <a:latin typeface="Arial"/>
                        <a:ea typeface="Arial"/>
                        <a:cs typeface="Arial"/>
                      </a:defRPr>
                    </a:pPr>
                    <a:r>
                      <a:t>E</a:t>
                    </a:r>
                  </a:p>
                </c:rich>
              </c:tx>
              <c:spPr>
                <a:noFill/>
                <a:ln w="25400">
                  <a:noFill/>
                </a:ln>
              </c:spPr>
              <c:showLegendKey val="0"/>
              <c:showVal val="0"/>
              <c:showCatName val="0"/>
              <c:showSerName val="0"/>
              <c:showPercent val="0"/>
              <c:showBubbleSize val="0"/>
            </c:dLbl>
            <c:dLbl>
              <c:idx val="1"/>
              <c:tx>
                <c:rich>
                  <a:bodyPr rot="-5400000" vert="horz"/>
                  <a:lstStyle/>
                  <a:p>
                    <a:pPr algn="ctr">
                      <a:defRPr sz="1000" b="0" i="0" u="none" strike="noStrike" baseline="0">
                        <a:solidFill>
                          <a:srgbClr val="000000"/>
                        </a:solidFill>
                        <a:latin typeface="Arial"/>
                        <a:ea typeface="Arial"/>
                        <a:cs typeface="Arial"/>
                      </a:defRPr>
                    </a:pPr>
                    <a:r>
                      <a:t>No Beam</a:t>
                    </a:r>
                  </a:p>
                </c:rich>
              </c:tx>
              <c:spPr>
                <a:noFill/>
                <a:ln w="25400">
                  <a:noFill/>
                </a:ln>
              </c:spPr>
              <c:dLblPos val="t"/>
              <c:showLegendKey val="0"/>
              <c:showVal val="0"/>
              <c:showCatName val="0"/>
              <c:showSerName val="0"/>
              <c:showPercent val="0"/>
              <c:showBubbleSize val="0"/>
            </c:dLbl>
            <c:showLegendKey val="0"/>
            <c:showVal val="0"/>
            <c:showCatName val="0"/>
            <c:showSerName val="0"/>
            <c:showPercent val="0"/>
            <c:showBubbleSize val="0"/>
          </c:dLbls>
          <c:xVal>
            <c:numLit>
              <c:formatCode>General</c:formatCode>
              <c:ptCount val="2"/>
              <c:pt idx="0">
                <c:v>21</c:v>
              </c:pt>
              <c:pt idx="1">
                <c:v>21</c:v>
              </c:pt>
            </c:numLit>
          </c:xVal>
          <c:yVal>
            <c:numLit>
              <c:formatCode>General</c:formatCode>
              <c:ptCount val="2"/>
              <c:pt idx="0">
                <c:v>128</c:v>
              </c:pt>
              <c:pt idx="1">
                <c:v>148</c:v>
              </c:pt>
            </c:numLit>
          </c:yVal>
          <c:smooth val="0"/>
        </c:ser>
        <c:ser>
          <c:idx val="5"/>
          <c:order val="5"/>
          <c:tx>
            <c:v>Leg6</c:v>
          </c:tx>
          <c:spPr>
            <a:ln w="38100">
              <a:solidFill>
                <a:srgbClr val="000000"/>
              </a:solidFill>
              <a:prstDash val="solid"/>
            </a:ln>
          </c:spPr>
          <c:marker>
            <c:symbol val="circle"/>
            <c:size val="6"/>
            <c:spPr>
              <a:solidFill>
                <a:srgbClr val="00CCFF"/>
              </a:solidFill>
              <a:ln>
                <a:solidFill>
                  <a:srgbClr val="000000"/>
                </a:solidFill>
                <a:prstDash val="solid"/>
              </a:ln>
            </c:spPr>
          </c:marker>
          <c:dLbls>
            <c:dLbl>
              <c:idx val="0"/>
              <c:tx>
                <c:rich>
                  <a:bodyPr/>
                  <a:lstStyle/>
                  <a:p>
                    <a:pPr>
                      <a:defRPr sz="1000" b="0" i="0" u="none" strike="noStrike" baseline="0">
                        <a:solidFill>
                          <a:srgbClr val="000000"/>
                        </a:solidFill>
                        <a:latin typeface="Arial"/>
                        <a:ea typeface="Arial"/>
                        <a:cs typeface="Arial"/>
                      </a:defRPr>
                    </a:pPr>
                    <a:r>
                      <a:t>F</a:t>
                    </a:r>
                  </a:p>
                </c:rich>
              </c:tx>
              <c:spPr>
                <a:noFill/>
                <a:ln w="25400">
                  <a:noFill/>
                </a:ln>
              </c:spPr>
              <c:showLegendKey val="0"/>
              <c:showVal val="0"/>
              <c:showCatName val="0"/>
              <c:showSerName val="0"/>
              <c:showPercent val="0"/>
              <c:showBubbleSize val="0"/>
            </c:dLbl>
            <c:showLegendKey val="0"/>
            <c:showVal val="0"/>
            <c:showCatName val="0"/>
            <c:showSerName val="0"/>
            <c:showPercent val="0"/>
            <c:showBubbleSize val="0"/>
          </c:dLbls>
          <c:xVal>
            <c:numLit>
              <c:formatCode>General</c:formatCode>
              <c:ptCount val="2"/>
              <c:pt idx="0">
                <c:v>25</c:v>
              </c:pt>
              <c:pt idx="1">
                <c:v>25</c:v>
              </c:pt>
            </c:numLit>
          </c:xVal>
          <c:yVal>
            <c:numLit>
              <c:formatCode>General</c:formatCode>
              <c:ptCount val="2"/>
              <c:pt idx="0">
                <c:v>128</c:v>
              </c:pt>
              <c:pt idx="1">
                <c:v>148</c:v>
              </c:pt>
            </c:numLit>
          </c:yVal>
          <c:smooth val="0"/>
        </c:ser>
        <c:ser>
          <c:idx val="6"/>
          <c:order val="6"/>
          <c:tx>
            <c:v>Leg7</c:v>
          </c:tx>
          <c:spPr>
            <a:ln w="38100">
              <a:solidFill>
                <a:srgbClr val="000000"/>
              </a:solidFill>
              <a:prstDash val="solid"/>
            </a:ln>
          </c:spPr>
          <c:marker>
            <c:symbol val="circle"/>
            <c:size val="6"/>
            <c:spPr>
              <a:solidFill>
                <a:srgbClr val="FF0000"/>
              </a:solidFill>
              <a:ln>
                <a:solidFill>
                  <a:srgbClr val="000000"/>
                </a:solidFill>
                <a:prstDash val="solid"/>
              </a:ln>
            </c:spPr>
          </c:marker>
          <c:dLbls>
            <c:dLbl>
              <c:idx val="0"/>
              <c:tx>
                <c:rich>
                  <a:bodyPr/>
                  <a:lstStyle/>
                  <a:p>
                    <a:pPr>
                      <a:defRPr sz="1000" b="0" i="0" u="none" strike="noStrike" baseline="0">
                        <a:solidFill>
                          <a:srgbClr val="000000"/>
                        </a:solidFill>
                        <a:latin typeface="Arial"/>
                        <a:ea typeface="Arial"/>
                        <a:cs typeface="Arial"/>
                      </a:defRPr>
                    </a:pPr>
                    <a:r>
                      <a:t>G</a:t>
                    </a:r>
                  </a:p>
                </c:rich>
              </c:tx>
              <c:spPr>
                <a:noFill/>
                <a:ln w="25400">
                  <a:noFill/>
                </a:ln>
              </c:spPr>
              <c:showLegendKey val="0"/>
              <c:showVal val="0"/>
              <c:showCatName val="0"/>
              <c:showSerName val="0"/>
              <c:showPercent val="0"/>
              <c:showBubbleSize val="0"/>
            </c:dLbl>
            <c:dLbl>
              <c:idx val="1"/>
              <c:tx>
                <c:rich>
                  <a:bodyPr rot="-5400000" vert="horz"/>
                  <a:lstStyle/>
                  <a:p>
                    <a:pPr algn="ctr">
                      <a:defRPr sz="1000" b="0" i="0" u="none" strike="noStrike" baseline="0">
                        <a:solidFill>
                          <a:srgbClr val="000000"/>
                        </a:solidFill>
                        <a:latin typeface="Arial"/>
                        <a:ea typeface="Arial"/>
                        <a:cs typeface="Arial"/>
                      </a:defRPr>
                    </a:pPr>
                    <a:r>
                      <a:t>No Beam</a:t>
                    </a:r>
                  </a:p>
                </c:rich>
              </c:tx>
              <c:spPr>
                <a:noFill/>
                <a:ln w="25400">
                  <a:noFill/>
                </a:ln>
              </c:spPr>
              <c:dLblPos val="t"/>
              <c:showLegendKey val="0"/>
              <c:showVal val="0"/>
              <c:showCatName val="0"/>
              <c:showSerName val="0"/>
              <c:showPercent val="0"/>
              <c:showBubbleSize val="0"/>
            </c:dLbl>
            <c:showLegendKey val="0"/>
            <c:showVal val="0"/>
            <c:showCatName val="0"/>
            <c:showSerName val="0"/>
            <c:showPercent val="0"/>
            <c:showBubbleSize val="0"/>
          </c:dLbls>
          <c:xVal>
            <c:numLit>
              <c:formatCode>General</c:formatCode>
              <c:ptCount val="2"/>
              <c:pt idx="0">
                <c:v>29</c:v>
              </c:pt>
              <c:pt idx="1">
                <c:v>29</c:v>
              </c:pt>
            </c:numLit>
          </c:xVal>
          <c:yVal>
            <c:numLit>
              <c:formatCode>General</c:formatCode>
              <c:ptCount val="2"/>
              <c:pt idx="0">
                <c:v>128</c:v>
              </c:pt>
              <c:pt idx="1">
                <c:v>148</c:v>
              </c:pt>
            </c:numLit>
          </c:yVal>
          <c:smooth val="0"/>
        </c:ser>
        <c:ser>
          <c:idx val="7"/>
          <c:order val="7"/>
          <c:tx>
            <c:v>Leg8</c:v>
          </c:tx>
          <c:spPr>
            <a:ln w="38100">
              <a:solidFill>
                <a:srgbClr val="000000"/>
              </a:solidFill>
              <a:prstDash val="solid"/>
            </a:ln>
          </c:spPr>
          <c:marker>
            <c:symbol val="circle"/>
            <c:size val="6"/>
            <c:spPr>
              <a:solidFill>
                <a:srgbClr val="00CCFF"/>
              </a:solidFill>
              <a:ln>
                <a:solidFill>
                  <a:srgbClr val="000000"/>
                </a:solidFill>
                <a:prstDash val="solid"/>
              </a:ln>
            </c:spPr>
          </c:marker>
          <c:dLbls>
            <c:dLbl>
              <c:idx val="0"/>
              <c:tx>
                <c:rich>
                  <a:bodyPr/>
                  <a:lstStyle/>
                  <a:p>
                    <a:pPr>
                      <a:defRPr sz="1000" b="0" i="0" u="none" strike="noStrike" baseline="0">
                        <a:solidFill>
                          <a:srgbClr val="000000"/>
                        </a:solidFill>
                        <a:latin typeface="Arial"/>
                        <a:ea typeface="Arial"/>
                        <a:cs typeface="Arial"/>
                      </a:defRPr>
                    </a:pPr>
                    <a:r>
                      <a:t>H</a:t>
                    </a:r>
                  </a:p>
                </c:rich>
              </c:tx>
              <c:spPr>
                <a:noFill/>
                <a:ln w="25400">
                  <a:noFill/>
                </a:ln>
              </c:spPr>
              <c:showLegendKey val="0"/>
              <c:showVal val="0"/>
              <c:showCatName val="0"/>
              <c:showSerName val="0"/>
              <c:showPercent val="0"/>
              <c:showBubbleSize val="0"/>
            </c:dLbl>
            <c:showLegendKey val="0"/>
            <c:showVal val="0"/>
            <c:showCatName val="0"/>
            <c:showSerName val="0"/>
            <c:showPercent val="0"/>
            <c:showBubbleSize val="0"/>
          </c:dLbls>
          <c:xVal>
            <c:numLit>
              <c:formatCode>General</c:formatCode>
              <c:ptCount val="2"/>
              <c:pt idx="0">
                <c:v>37</c:v>
              </c:pt>
              <c:pt idx="1">
                <c:v>37</c:v>
              </c:pt>
            </c:numLit>
          </c:xVal>
          <c:yVal>
            <c:numLit>
              <c:formatCode>General</c:formatCode>
              <c:ptCount val="2"/>
              <c:pt idx="0">
                <c:v>128</c:v>
              </c:pt>
              <c:pt idx="1">
                <c:v>148</c:v>
              </c:pt>
            </c:numLit>
          </c:yVal>
          <c:smooth val="0"/>
        </c:ser>
        <c:ser>
          <c:idx val="8"/>
          <c:order val="8"/>
          <c:tx>
            <c:v>Brace1</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5</c:v>
              </c:pt>
              <c:pt idx="1">
                <c:v>13</c:v>
              </c:pt>
            </c:numLit>
          </c:xVal>
          <c:yVal>
            <c:numLit>
              <c:formatCode>General</c:formatCode>
              <c:ptCount val="2"/>
              <c:pt idx="0">
                <c:v>132</c:v>
              </c:pt>
              <c:pt idx="1">
                <c:v>132</c:v>
              </c:pt>
            </c:numLit>
          </c:yVal>
          <c:smooth val="0"/>
        </c:ser>
        <c:ser>
          <c:idx val="9"/>
          <c:order val="9"/>
          <c:tx>
            <c:v>Brace2</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5</c:v>
              </c:pt>
              <c:pt idx="1">
                <c:v>13</c:v>
              </c:pt>
            </c:numLit>
          </c:xVal>
          <c:yVal>
            <c:numLit>
              <c:formatCode>General</c:formatCode>
              <c:ptCount val="2"/>
              <c:pt idx="0">
                <c:v>140</c:v>
              </c:pt>
              <c:pt idx="1">
                <c:v>140</c:v>
              </c:pt>
            </c:numLit>
          </c:yVal>
          <c:smooth val="0"/>
        </c:ser>
        <c:ser>
          <c:idx val="10"/>
          <c:order val="10"/>
          <c:tx>
            <c:v>Brace3</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5</c:v>
              </c:pt>
              <c:pt idx="1">
                <c:v>13</c:v>
              </c:pt>
            </c:numLit>
          </c:xVal>
          <c:yVal>
            <c:numLit>
              <c:formatCode>General</c:formatCode>
              <c:ptCount val="2"/>
              <c:pt idx="0">
                <c:v>148</c:v>
              </c:pt>
              <c:pt idx="1">
                <c:v>148</c:v>
              </c:pt>
            </c:numLit>
          </c:yVal>
          <c:smooth val="0"/>
        </c:ser>
        <c:ser>
          <c:idx val="11"/>
          <c:order val="11"/>
          <c:tx>
            <c:v>Brace4</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13</c:v>
              </c:pt>
              <c:pt idx="1">
                <c:v>17</c:v>
              </c:pt>
            </c:numLit>
          </c:xVal>
          <c:yVal>
            <c:numLit>
              <c:formatCode>General</c:formatCode>
              <c:ptCount val="2"/>
              <c:pt idx="0">
                <c:v>132</c:v>
              </c:pt>
              <c:pt idx="1">
                <c:v>132</c:v>
              </c:pt>
            </c:numLit>
          </c:yVal>
          <c:smooth val="0"/>
        </c:ser>
        <c:ser>
          <c:idx val="12"/>
          <c:order val="12"/>
          <c:tx>
            <c:v>Brace5</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13</c:v>
              </c:pt>
              <c:pt idx="1">
                <c:v>17</c:v>
              </c:pt>
            </c:numLit>
          </c:xVal>
          <c:yVal>
            <c:numLit>
              <c:formatCode>General</c:formatCode>
              <c:ptCount val="2"/>
              <c:pt idx="0">
                <c:v>140</c:v>
              </c:pt>
              <c:pt idx="1">
                <c:v>140</c:v>
              </c:pt>
            </c:numLit>
          </c:yVal>
          <c:smooth val="0"/>
        </c:ser>
        <c:ser>
          <c:idx val="13"/>
          <c:order val="13"/>
          <c:tx>
            <c:v>Brace6</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13</c:v>
              </c:pt>
              <c:pt idx="1">
                <c:v>17</c:v>
              </c:pt>
            </c:numLit>
          </c:xVal>
          <c:yVal>
            <c:numLit>
              <c:formatCode>General</c:formatCode>
              <c:ptCount val="2"/>
              <c:pt idx="0">
                <c:v>148</c:v>
              </c:pt>
              <c:pt idx="1">
                <c:v>148</c:v>
              </c:pt>
            </c:numLit>
          </c:yVal>
          <c:smooth val="0"/>
        </c:ser>
        <c:ser>
          <c:idx val="14"/>
          <c:order val="14"/>
          <c:tx>
            <c:v>Brace7</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17</c:v>
              </c:pt>
              <c:pt idx="1">
                <c:v>19</c:v>
              </c:pt>
            </c:numLit>
          </c:xVal>
          <c:yVal>
            <c:numLit>
              <c:formatCode>General</c:formatCode>
              <c:ptCount val="2"/>
              <c:pt idx="0">
                <c:v>132</c:v>
              </c:pt>
              <c:pt idx="1">
                <c:v>132</c:v>
              </c:pt>
            </c:numLit>
          </c:yVal>
          <c:smooth val="0"/>
        </c:ser>
        <c:ser>
          <c:idx val="15"/>
          <c:order val="15"/>
          <c:tx>
            <c:v>Brace8</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17</c:v>
              </c:pt>
              <c:pt idx="1">
                <c:v>19</c:v>
              </c:pt>
            </c:numLit>
          </c:xVal>
          <c:yVal>
            <c:numLit>
              <c:formatCode>General</c:formatCode>
              <c:ptCount val="2"/>
              <c:pt idx="0">
                <c:v>140</c:v>
              </c:pt>
              <c:pt idx="1">
                <c:v>140</c:v>
              </c:pt>
            </c:numLit>
          </c:yVal>
          <c:smooth val="0"/>
        </c:ser>
        <c:ser>
          <c:idx val="16"/>
          <c:order val="16"/>
          <c:tx>
            <c:v>Brace9</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17</c:v>
              </c:pt>
              <c:pt idx="1">
                <c:v>19</c:v>
              </c:pt>
            </c:numLit>
          </c:xVal>
          <c:yVal>
            <c:numLit>
              <c:formatCode>General</c:formatCode>
              <c:ptCount val="2"/>
              <c:pt idx="0">
                <c:v>148</c:v>
              </c:pt>
              <c:pt idx="1">
                <c:v>148</c:v>
              </c:pt>
            </c:numLit>
          </c:yVal>
          <c:smooth val="0"/>
        </c:ser>
        <c:ser>
          <c:idx val="17"/>
          <c:order val="17"/>
          <c:tx>
            <c:v>Brace10</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19</c:v>
              </c:pt>
              <c:pt idx="1">
                <c:v>21</c:v>
              </c:pt>
            </c:numLit>
          </c:xVal>
          <c:yVal>
            <c:numLit>
              <c:formatCode>General</c:formatCode>
              <c:ptCount val="2"/>
              <c:pt idx="0">
                <c:v>132</c:v>
              </c:pt>
              <c:pt idx="1">
                <c:v>132</c:v>
              </c:pt>
            </c:numLit>
          </c:yVal>
          <c:smooth val="0"/>
        </c:ser>
        <c:ser>
          <c:idx val="18"/>
          <c:order val="18"/>
          <c:tx>
            <c:v>Brace11</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19</c:v>
              </c:pt>
              <c:pt idx="1">
                <c:v>21</c:v>
              </c:pt>
            </c:numLit>
          </c:xVal>
          <c:yVal>
            <c:numLit>
              <c:formatCode>General</c:formatCode>
              <c:ptCount val="2"/>
              <c:pt idx="0">
                <c:v>140</c:v>
              </c:pt>
              <c:pt idx="1">
                <c:v>140</c:v>
              </c:pt>
            </c:numLit>
          </c:yVal>
          <c:smooth val="0"/>
        </c:ser>
        <c:ser>
          <c:idx val="19"/>
          <c:order val="19"/>
          <c:tx>
            <c:v>Brace12</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19</c:v>
              </c:pt>
              <c:pt idx="1">
                <c:v>21</c:v>
              </c:pt>
            </c:numLit>
          </c:xVal>
          <c:yVal>
            <c:numLit>
              <c:formatCode>General</c:formatCode>
              <c:ptCount val="2"/>
              <c:pt idx="0">
                <c:v>148</c:v>
              </c:pt>
              <c:pt idx="1">
                <c:v>148</c:v>
              </c:pt>
            </c:numLit>
          </c:yVal>
          <c:smooth val="0"/>
        </c:ser>
        <c:ser>
          <c:idx val="20"/>
          <c:order val="20"/>
          <c:tx>
            <c:v>Brace13</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21</c:v>
              </c:pt>
              <c:pt idx="1">
                <c:v>25</c:v>
              </c:pt>
            </c:numLit>
          </c:xVal>
          <c:yVal>
            <c:numLit>
              <c:formatCode>General</c:formatCode>
              <c:ptCount val="2"/>
              <c:pt idx="0">
                <c:v>132</c:v>
              </c:pt>
              <c:pt idx="1">
                <c:v>132</c:v>
              </c:pt>
            </c:numLit>
          </c:yVal>
          <c:smooth val="0"/>
        </c:ser>
        <c:ser>
          <c:idx val="21"/>
          <c:order val="21"/>
          <c:tx>
            <c:v>Brace14</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21</c:v>
              </c:pt>
              <c:pt idx="1">
                <c:v>25</c:v>
              </c:pt>
            </c:numLit>
          </c:xVal>
          <c:yVal>
            <c:numLit>
              <c:formatCode>General</c:formatCode>
              <c:ptCount val="2"/>
              <c:pt idx="0">
                <c:v>140</c:v>
              </c:pt>
              <c:pt idx="1">
                <c:v>140</c:v>
              </c:pt>
            </c:numLit>
          </c:yVal>
          <c:smooth val="0"/>
        </c:ser>
        <c:ser>
          <c:idx val="22"/>
          <c:order val="22"/>
          <c:tx>
            <c:v>Brace15</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21</c:v>
              </c:pt>
              <c:pt idx="1">
                <c:v>25</c:v>
              </c:pt>
            </c:numLit>
          </c:xVal>
          <c:yVal>
            <c:numLit>
              <c:formatCode>General</c:formatCode>
              <c:ptCount val="2"/>
              <c:pt idx="0">
                <c:v>148</c:v>
              </c:pt>
              <c:pt idx="1">
                <c:v>148</c:v>
              </c:pt>
            </c:numLit>
          </c:yVal>
          <c:smooth val="0"/>
        </c:ser>
        <c:ser>
          <c:idx val="23"/>
          <c:order val="23"/>
          <c:tx>
            <c:v>Brace16</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25</c:v>
              </c:pt>
              <c:pt idx="1">
                <c:v>29</c:v>
              </c:pt>
            </c:numLit>
          </c:xVal>
          <c:yVal>
            <c:numLit>
              <c:formatCode>General</c:formatCode>
              <c:ptCount val="2"/>
              <c:pt idx="0">
                <c:v>132</c:v>
              </c:pt>
              <c:pt idx="1">
                <c:v>132</c:v>
              </c:pt>
            </c:numLit>
          </c:yVal>
          <c:smooth val="0"/>
        </c:ser>
        <c:ser>
          <c:idx val="24"/>
          <c:order val="24"/>
          <c:tx>
            <c:v>Brace17</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25</c:v>
              </c:pt>
              <c:pt idx="1">
                <c:v>29</c:v>
              </c:pt>
            </c:numLit>
          </c:xVal>
          <c:yVal>
            <c:numLit>
              <c:formatCode>General</c:formatCode>
              <c:ptCount val="2"/>
              <c:pt idx="0">
                <c:v>140</c:v>
              </c:pt>
              <c:pt idx="1">
                <c:v>140</c:v>
              </c:pt>
            </c:numLit>
          </c:yVal>
          <c:smooth val="0"/>
        </c:ser>
        <c:ser>
          <c:idx val="25"/>
          <c:order val="25"/>
          <c:tx>
            <c:v>Brace18</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25</c:v>
              </c:pt>
              <c:pt idx="1">
                <c:v>29</c:v>
              </c:pt>
            </c:numLit>
          </c:xVal>
          <c:yVal>
            <c:numLit>
              <c:formatCode>General</c:formatCode>
              <c:ptCount val="2"/>
              <c:pt idx="0">
                <c:v>148</c:v>
              </c:pt>
              <c:pt idx="1">
                <c:v>148</c:v>
              </c:pt>
            </c:numLit>
          </c:yVal>
          <c:smooth val="0"/>
        </c:ser>
        <c:ser>
          <c:idx val="26"/>
          <c:order val="26"/>
          <c:tx>
            <c:v>Brace19</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29</c:v>
              </c:pt>
              <c:pt idx="1">
                <c:v>37</c:v>
              </c:pt>
            </c:numLit>
          </c:xVal>
          <c:yVal>
            <c:numLit>
              <c:formatCode>General</c:formatCode>
              <c:ptCount val="2"/>
              <c:pt idx="0">
                <c:v>132</c:v>
              </c:pt>
              <c:pt idx="1">
                <c:v>132</c:v>
              </c:pt>
            </c:numLit>
          </c:yVal>
          <c:smooth val="0"/>
        </c:ser>
        <c:ser>
          <c:idx val="27"/>
          <c:order val="27"/>
          <c:tx>
            <c:v>Brace20</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29</c:v>
              </c:pt>
              <c:pt idx="1">
                <c:v>37</c:v>
              </c:pt>
            </c:numLit>
          </c:xVal>
          <c:yVal>
            <c:numLit>
              <c:formatCode>General</c:formatCode>
              <c:ptCount val="2"/>
              <c:pt idx="0">
                <c:v>140</c:v>
              </c:pt>
              <c:pt idx="1">
                <c:v>140</c:v>
              </c:pt>
            </c:numLit>
          </c:yVal>
          <c:smooth val="0"/>
        </c:ser>
        <c:ser>
          <c:idx val="28"/>
          <c:order val="28"/>
          <c:tx>
            <c:v>Brace21</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29</c:v>
              </c:pt>
              <c:pt idx="1">
                <c:v>37</c:v>
              </c:pt>
            </c:numLit>
          </c:xVal>
          <c:yVal>
            <c:numLit>
              <c:formatCode>General</c:formatCode>
              <c:ptCount val="2"/>
              <c:pt idx="0">
                <c:v>148</c:v>
              </c:pt>
              <c:pt idx="1">
                <c:v>148</c:v>
              </c:pt>
            </c:numLit>
          </c:yVal>
          <c:smooth val="0"/>
        </c:ser>
        <c:ser>
          <c:idx val="29"/>
          <c:order val="29"/>
          <c:tx>
            <c:v>Brace22</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13</c:v>
              </c:pt>
              <c:pt idx="1">
                <c:v>17</c:v>
              </c:pt>
            </c:numLit>
          </c:xVal>
          <c:yVal>
            <c:numLit>
              <c:formatCode>General</c:formatCode>
              <c:ptCount val="2"/>
              <c:pt idx="0">
                <c:v>132</c:v>
              </c:pt>
              <c:pt idx="1">
                <c:v>140</c:v>
              </c:pt>
            </c:numLit>
          </c:yVal>
          <c:smooth val="0"/>
        </c:ser>
        <c:ser>
          <c:idx val="30"/>
          <c:order val="30"/>
          <c:tx>
            <c:v>Brace23</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13</c:v>
              </c:pt>
              <c:pt idx="1">
                <c:v>17</c:v>
              </c:pt>
            </c:numLit>
          </c:xVal>
          <c:yVal>
            <c:numLit>
              <c:formatCode>General</c:formatCode>
              <c:ptCount val="2"/>
              <c:pt idx="0">
                <c:v>140</c:v>
              </c:pt>
              <c:pt idx="1">
                <c:v>148</c:v>
              </c:pt>
            </c:numLit>
          </c:yVal>
          <c:smooth val="0"/>
        </c:ser>
        <c:ser>
          <c:idx val="31"/>
          <c:order val="31"/>
          <c:tx>
            <c:v>Brace24</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25</c:v>
              </c:pt>
              <c:pt idx="1">
                <c:v>29</c:v>
              </c:pt>
            </c:numLit>
          </c:xVal>
          <c:yVal>
            <c:numLit>
              <c:formatCode>General</c:formatCode>
              <c:ptCount val="2"/>
              <c:pt idx="0">
                <c:v>132</c:v>
              </c:pt>
              <c:pt idx="1">
                <c:v>140</c:v>
              </c:pt>
            </c:numLit>
          </c:yVal>
          <c:smooth val="0"/>
        </c:ser>
        <c:ser>
          <c:idx val="32"/>
          <c:order val="32"/>
          <c:tx>
            <c:v>Brace25</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25</c:v>
              </c:pt>
              <c:pt idx="1">
                <c:v>29</c:v>
              </c:pt>
            </c:numLit>
          </c:xVal>
          <c:yVal>
            <c:numLit>
              <c:formatCode>General</c:formatCode>
              <c:ptCount val="2"/>
              <c:pt idx="0">
                <c:v>140</c:v>
              </c:pt>
              <c:pt idx="1">
                <c:v>148</c:v>
              </c:pt>
            </c:numLit>
          </c:yVal>
          <c:smooth val="0"/>
        </c:ser>
        <c:ser>
          <c:idx val="33"/>
          <c:order val="33"/>
          <c:tx>
            <c:v>Brace26</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13</c:v>
              </c:pt>
              <c:pt idx="1">
                <c:v>17</c:v>
              </c:pt>
            </c:numLit>
          </c:xVal>
          <c:yVal>
            <c:numLit>
              <c:formatCode>General</c:formatCode>
              <c:ptCount val="2"/>
              <c:pt idx="0">
                <c:v>140</c:v>
              </c:pt>
              <c:pt idx="1">
                <c:v>132</c:v>
              </c:pt>
            </c:numLit>
          </c:yVal>
          <c:smooth val="0"/>
        </c:ser>
        <c:ser>
          <c:idx val="34"/>
          <c:order val="34"/>
          <c:tx>
            <c:v>Brace27</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13</c:v>
              </c:pt>
              <c:pt idx="1">
                <c:v>17</c:v>
              </c:pt>
            </c:numLit>
          </c:xVal>
          <c:yVal>
            <c:numLit>
              <c:formatCode>General</c:formatCode>
              <c:ptCount val="2"/>
              <c:pt idx="0">
                <c:v>148</c:v>
              </c:pt>
              <c:pt idx="1">
                <c:v>140</c:v>
              </c:pt>
            </c:numLit>
          </c:yVal>
          <c:smooth val="0"/>
        </c:ser>
        <c:dLbls>
          <c:showLegendKey val="0"/>
          <c:showVal val="0"/>
          <c:showCatName val="0"/>
          <c:showSerName val="0"/>
          <c:showPercent val="0"/>
          <c:showBubbleSize val="0"/>
        </c:dLbls>
        <c:axId val="164147200"/>
        <c:axId val="164149504"/>
      </c:scatterChart>
      <c:valAx>
        <c:axId val="164147200"/>
        <c:scaling>
          <c:orientation val="minMax"/>
          <c:max val="50"/>
          <c:min val="-10"/>
        </c:scaling>
        <c:delete val="0"/>
        <c:axPos val="b"/>
        <c:title>
          <c:tx>
            <c:rich>
              <a:bodyPr/>
              <a:lstStyle/>
              <a:p>
                <a:pPr>
                  <a:defRPr sz="1000" b="1" i="0" u="none" strike="noStrike" baseline="0">
                    <a:solidFill>
                      <a:srgbClr val="000000"/>
                    </a:solidFill>
                    <a:latin typeface="Arial"/>
                    <a:ea typeface="Arial"/>
                    <a:cs typeface="Arial"/>
                  </a:defRPr>
                </a:pPr>
                <a:r>
                  <a:rPr lang="nb-NO"/>
                  <a:t>Y Axis</a:t>
                </a:r>
              </a:p>
            </c:rich>
          </c:tx>
          <c:layout>
            <c:manualLayout>
              <c:xMode val="edge"/>
              <c:yMode val="edge"/>
              <c:x val="0.49474811972032906"/>
              <c:y val="0.9028893435564647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b-NO"/>
          </a:p>
        </c:txPr>
        <c:crossAx val="164149504"/>
        <c:crosses val="autoZero"/>
        <c:crossBetween val="midCat"/>
      </c:valAx>
      <c:valAx>
        <c:axId val="164149504"/>
        <c:scaling>
          <c:orientation val="minMax"/>
          <c:max val="160"/>
          <c:min val="120"/>
        </c:scaling>
        <c:delete val="0"/>
        <c:axPos val="l"/>
        <c:title>
          <c:tx>
            <c:rich>
              <a:bodyPr/>
              <a:lstStyle/>
              <a:p>
                <a:pPr>
                  <a:defRPr sz="1000" b="1" i="0" u="none" strike="noStrike" baseline="0">
                    <a:solidFill>
                      <a:srgbClr val="000000"/>
                    </a:solidFill>
                    <a:latin typeface="Arial"/>
                    <a:ea typeface="Arial"/>
                    <a:cs typeface="Arial"/>
                  </a:defRPr>
                </a:pPr>
                <a:r>
                  <a:rPr lang="nb-NO"/>
                  <a:t>Z Axis</a:t>
                </a:r>
              </a:p>
            </c:rich>
          </c:tx>
          <c:layout>
            <c:manualLayout>
              <c:xMode val="edge"/>
              <c:yMode val="edge"/>
              <c:x val="1.5756302521008403E-2"/>
              <c:y val="0.4120745930380749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b-NO"/>
          </a:p>
        </c:txPr>
        <c:crossAx val="164147200"/>
        <c:crosses val="autoZero"/>
        <c:crossBetween val="midCat"/>
      </c:valAx>
      <c:spPr>
        <a:solidFill>
          <a:srgbClr val="CCFFFF"/>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nb-NO"/>
    </a:p>
  </c:txPr>
  <c:printSettings>
    <c:headerFooter alignWithMargins="0"/>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nb-NO"/>
              <a:t>XZ Plot</a:t>
            </a:r>
          </a:p>
        </c:rich>
      </c:tx>
      <c:layout>
        <c:manualLayout>
          <c:xMode val="edge"/>
          <c:yMode val="edge"/>
          <c:x val="0.46848761551864837"/>
          <c:y val="3.3854166666666664E-2"/>
        </c:manualLayout>
      </c:layout>
      <c:overlay val="0"/>
      <c:spPr>
        <a:noFill/>
        <a:ln w="25400">
          <a:noFill/>
        </a:ln>
      </c:spPr>
    </c:title>
    <c:autoTitleDeleted val="0"/>
    <c:plotArea>
      <c:layout>
        <c:manualLayout>
          <c:layoutTarget val="inner"/>
          <c:xMode val="edge"/>
          <c:yMode val="edge"/>
          <c:x val="5.1470614634596693E-2"/>
          <c:y val="0.10937527815571634"/>
          <c:w val="0.93172316695688295"/>
          <c:h val="0.71354348130157796"/>
        </c:manualLayout>
      </c:layout>
      <c:scatterChart>
        <c:scatterStyle val="lineMarker"/>
        <c:varyColors val="0"/>
        <c:ser>
          <c:idx val="0"/>
          <c:order val="0"/>
          <c:tx>
            <c:v>Leg1</c:v>
          </c:tx>
          <c:spPr>
            <a:ln w="38100">
              <a:solidFill>
                <a:srgbClr val="000000"/>
              </a:solidFill>
              <a:prstDash val="solid"/>
            </a:ln>
          </c:spPr>
          <c:marker>
            <c:symbol val="circle"/>
            <c:size val="6"/>
            <c:spPr>
              <a:solidFill>
                <a:srgbClr val="00CCFF"/>
              </a:solidFill>
              <a:ln>
                <a:solidFill>
                  <a:srgbClr val="000000"/>
                </a:solidFill>
                <a:prstDash val="solid"/>
              </a:ln>
            </c:spPr>
          </c:marker>
          <c:dLbls>
            <c:dLbl>
              <c:idx val="0"/>
              <c:tx>
                <c:rich>
                  <a:bodyPr/>
                  <a:lstStyle/>
                  <a:p>
                    <a:pPr>
                      <a:defRPr sz="1000" b="0" i="0" u="none" strike="noStrike" baseline="0">
                        <a:solidFill>
                          <a:srgbClr val="000000"/>
                        </a:solidFill>
                        <a:latin typeface="Arial"/>
                        <a:ea typeface="Arial"/>
                        <a:cs typeface="Arial"/>
                      </a:defRPr>
                    </a:pPr>
                    <a:r>
                      <a:t>1</a:t>
                    </a:r>
                  </a:p>
                </c:rich>
              </c:tx>
              <c:spPr>
                <a:noFill/>
                <a:ln w="25400">
                  <a:noFill/>
                </a:ln>
              </c:spPr>
              <c:showLegendKey val="0"/>
              <c:showVal val="0"/>
              <c:showCatName val="0"/>
              <c:showSerName val="0"/>
              <c:showPercent val="0"/>
              <c:showBubbleSize val="0"/>
            </c:dLbl>
            <c:showLegendKey val="0"/>
            <c:showVal val="0"/>
            <c:showCatName val="0"/>
            <c:showSerName val="0"/>
            <c:showPercent val="0"/>
            <c:showBubbleSize val="0"/>
          </c:dLbls>
          <c:xVal>
            <c:numLit>
              <c:formatCode>General</c:formatCode>
              <c:ptCount val="2"/>
              <c:pt idx="0">
                <c:v>-6</c:v>
              </c:pt>
              <c:pt idx="1">
                <c:v>-6</c:v>
              </c:pt>
            </c:numLit>
          </c:xVal>
          <c:yVal>
            <c:numLit>
              <c:formatCode>General</c:formatCode>
              <c:ptCount val="2"/>
              <c:pt idx="0">
                <c:v>128</c:v>
              </c:pt>
              <c:pt idx="1">
                <c:v>148</c:v>
              </c:pt>
            </c:numLit>
          </c:yVal>
          <c:smooth val="0"/>
        </c:ser>
        <c:ser>
          <c:idx val="1"/>
          <c:order val="1"/>
          <c:tx>
            <c:v>Leg2</c:v>
          </c:tx>
          <c:spPr>
            <a:ln w="38100">
              <a:solidFill>
                <a:srgbClr val="000000"/>
              </a:solidFill>
              <a:prstDash val="solid"/>
            </a:ln>
          </c:spPr>
          <c:marker>
            <c:symbol val="circle"/>
            <c:size val="6"/>
            <c:spPr>
              <a:solidFill>
                <a:srgbClr val="FF0000"/>
              </a:solidFill>
              <a:ln>
                <a:solidFill>
                  <a:srgbClr val="000000"/>
                </a:solidFill>
                <a:prstDash val="solid"/>
              </a:ln>
            </c:spPr>
          </c:marker>
          <c:dLbls>
            <c:dLbl>
              <c:idx val="0"/>
              <c:tx>
                <c:rich>
                  <a:bodyPr/>
                  <a:lstStyle/>
                  <a:p>
                    <a:pPr>
                      <a:defRPr sz="1000" b="0" i="0" u="none" strike="noStrike" baseline="0">
                        <a:solidFill>
                          <a:srgbClr val="000000"/>
                        </a:solidFill>
                        <a:latin typeface="Arial"/>
                        <a:ea typeface="Arial"/>
                        <a:cs typeface="Arial"/>
                      </a:defRPr>
                    </a:pPr>
                    <a:r>
                      <a:t>2</a:t>
                    </a:r>
                  </a:p>
                </c:rich>
              </c:tx>
              <c:spPr>
                <a:noFill/>
                <a:ln w="25400">
                  <a:noFill/>
                </a:ln>
              </c:spPr>
              <c:showLegendKey val="0"/>
              <c:showVal val="0"/>
              <c:showCatName val="0"/>
              <c:showSerName val="0"/>
              <c:showPercent val="0"/>
              <c:showBubbleSize val="0"/>
            </c:dLbl>
            <c:dLbl>
              <c:idx val="1"/>
              <c:tx>
                <c:rich>
                  <a:bodyPr rot="-5400000" vert="horz"/>
                  <a:lstStyle/>
                  <a:p>
                    <a:pPr algn="ctr">
                      <a:defRPr sz="1000" b="0" i="0" u="none" strike="noStrike" baseline="0">
                        <a:solidFill>
                          <a:srgbClr val="000000"/>
                        </a:solidFill>
                        <a:latin typeface="Arial"/>
                        <a:ea typeface="Arial"/>
                        <a:cs typeface="Arial"/>
                      </a:defRPr>
                    </a:pPr>
                    <a:r>
                      <a:t>No Beam</a:t>
                    </a:r>
                  </a:p>
                </c:rich>
              </c:tx>
              <c:spPr>
                <a:noFill/>
                <a:ln w="25400">
                  <a:noFill/>
                </a:ln>
              </c:spPr>
              <c:dLblPos val="t"/>
              <c:showLegendKey val="0"/>
              <c:showVal val="0"/>
              <c:showCatName val="0"/>
              <c:showSerName val="0"/>
              <c:showPercent val="0"/>
              <c:showBubbleSize val="0"/>
            </c:dLbl>
            <c:showLegendKey val="0"/>
            <c:showVal val="0"/>
            <c:showCatName val="0"/>
            <c:showSerName val="0"/>
            <c:showPercent val="0"/>
            <c:showBubbleSize val="0"/>
          </c:dLbls>
          <c:xVal>
            <c:numLit>
              <c:formatCode>General</c:formatCode>
              <c:ptCount val="2"/>
              <c:pt idx="0">
                <c:v>6</c:v>
              </c:pt>
              <c:pt idx="1">
                <c:v>6</c:v>
              </c:pt>
            </c:numLit>
          </c:xVal>
          <c:yVal>
            <c:numLit>
              <c:formatCode>General</c:formatCode>
              <c:ptCount val="2"/>
              <c:pt idx="0">
                <c:v>128</c:v>
              </c:pt>
              <c:pt idx="1">
                <c:v>148</c:v>
              </c:pt>
            </c:numLit>
          </c:yVal>
          <c:smooth val="0"/>
        </c:ser>
        <c:ser>
          <c:idx val="2"/>
          <c:order val="2"/>
          <c:tx>
            <c:v>Leg3</c:v>
          </c:tx>
          <c:spPr>
            <a:ln w="38100">
              <a:solidFill>
                <a:srgbClr val="000000"/>
              </a:solidFill>
              <a:prstDash val="solid"/>
            </a:ln>
          </c:spPr>
          <c:marker>
            <c:symbol val="circle"/>
            <c:size val="6"/>
            <c:spPr>
              <a:solidFill>
                <a:srgbClr val="00CCFF"/>
              </a:solidFill>
              <a:ln>
                <a:solidFill>
                  <a:srgbClr val="000000"/>
                </a:solidFill>
                <a:prstDash val="solid"/>
              </a:ln>
            </c:spPr>
          </c:marker>
          <c:dLbls>
            <c:dLbl>
              <c:idx val="0"/>
              <c:tx>
                <c:rich>
                  <a:bodyPr/>
                  <a:lstStyle/>
                  <a:p>
                    <a:pPr>
                      <a:defRPr sz="1000" b="0" i="0" u="none" strike="noStrike" baseline="0">
                        <a:solidFill>
                          <a:srgbClr val="000000"/>
                        </a:solidFill>
                        <a:latin typeface="Arial"/>
                        <a:ea typeface="Arial"/>
                        <a:cs typeface="Arial"/>
                      </a:defRPr>
                    </a:pPr>
                    <a:r>
                      <a:t>3</a:t>
                    </a:r>
                  </a:p>
                </c:rich>
              </c:tx>
              <c:spPr>
                <a:noFill/>
                <a:ln w="25400">
                  <a:noFill/>
                </a:ln>
              </c:spPr>
              <c:showLegendKey val="0"/>
              <c:showVal val="0"/>
              <c:showCatName val="0"/>
              <c:showSerName val="0"/>
              <c:showPercent val="0"/>
              <c:showBubbleSize val="0"/>
            </c:dLbl>
            <c:showLegendKey val="0"/>
            <c:showVal val="0"/>
            <c:showCatName val="0"/>
            <c:showSerName val="0"/>
            <c:showPercent val="0"/>
            <c:showBubbleSize val="0"/>
          </c:dLbls>
          <c:xVal>
            <c:numLit>
              <c:formatCode>General</c:formatCode>
              <c:ptCount val="2"/>
              <c:pt idx="0">
                <c:v>11</c:v>
              </c:pt>
              <c:pt idx="1">
                <c:v>11</c:v>
              </c:pt>
            </c:numLit>
          </c:xVal>
          <c:yVal>
            <c:numLit>
              <c:formatCode>General</c:formatCode>
              <c:ptCount val="2"/>
              <c:pt idx="0">
                <c:v>128</c:v>
              </c:pt>
              <c:pt idx="1">
                <c:v>148</c:v>
              </c:pt>
            </c:numLit>
          </c:yVal>
          <c:smooth val="0"/>
        </c:ser>
        <c:ser>
          <c:idx val="3"/>
          <c:order val="3"/>
          <c:tx>
            <c:v>Leg4</c:v>
          </c:tx>
          <c:spPr>
            <a:ln w="12700">
              <a:solidFill>
                <a:srgbClr val="000000"/>
              </a:solidFill>
              <a:prstDash val="solid"/>
            </a:ln>
          </c:spPr>
          <c:marker>
            <c:symbol val="circle"/>
            <c:size val="6"/>
            <c:spPr>
              <a:solidFill>
                <a:srgbClr val="FF0000"/>
              </a:solidFill>
              <a:ln>
                <a:solidFill>
                  <a:srgbClr val="000000"/>
                </a:solidFill>
                <a:prstDash val="solid"/>
              </a:ln>
            </c:spPr>
          </c:marker>
          <c:dLbls>
            <c:dLbl>
              <c:idx val="0"/>
              <c:tx>
                <c:rich>
                  <a:bodyPr/>
                  <a:lstStyle/>
                  <a:p>
                    <a:pPr>
                      <a:defRPr sz="1000" b="0" i="0" u="none" strike="noStrike" baseline="0">
                        <a:solidFill>
                          <a:srgbClr val="000000"/>
                        </a:solidFill>
                        <a:latin typeface="Arial"/>
                        <a:ea typeface="Arial"/>
                        <a:cs typeface="Arial"/>
                      </a:defRPr>
                    </a:pPr>
                    <a:r>
                      <a:t>4</a:t>
                    </a:r>
                  </a:p>
                </c:rich>
              </c:tx>
              <c:spPr>
                <a:noFill/>
                <a:ln w="25400">
                  <a:noFill/>
                </a:ln>
              </c:spPr>
              <c:showLegendKey val="0"/>
              <c:showVal val="0"/>
              <c:showCatName val="0"/>
              <c:showSerName val="0"/>
              <c:showPercent val="0"/>
              <c:showBubbleSize val="0"/>
            </c:dLbl>
            <c:dLbl>
              <c:idx val="1"/>
              <c:tx>
                <c:rich>
                  <a:bodyPr rot="-5400000" vert="horz"/>
                  <a:lstStyle/>
                  <a:p>
                    <a:pPr algn="ctr">
                      <a:defRPr sz="1000" b="0" i="0" u="none" strike="noStrike" baseline="0">
                        <a:solidFill>
                          <a:srgbClr val="000000"/>
                        </a:solidFill>
                        <a:latin typeface="Arial"/>
                        <a:ea typeface="Arial"/>
                        <a:cs typeface="Arial"/>
                      </a:defRPr>
                    </a:pPr>
                    <a:r>
                      <a:t>No Beam</a:t>
                    </a:r>
                  </a:p>
                </c:rich>
              </c:tx>
              <c:spPr>
                <a:noFill/>
                <a:ln w="25400">
                  <a:noFill/>
                </a:ln>
              </c:spPr>
              <c:dLblPos val="t"/>
              <c:showLegendKey val="0"/>
              <c:showVal val="0"/>
              <c:showCatName val="0"/>
              <c:showSerName val="0"/>
              <c:showPercent val="0"/>
              <c:showBubbleSize val="0"/>
            </c:dLbl>
            <c:showLegendKey val="0"/>
            <c:showVal val="0"/>
            <c:showCatName val="0"/>
            <c:showSerName val="0"/>
            <c:showPercent val="0"/>
            <c:showBubbleSize val="0"/>
          </c:dLbls>
          <c:xVal>
            <c:numLit>
              <c:formatCode>General</c:formatCode>
              <c:ptCount val="2"/>
              <c:pt idx="0">
                <c:v>19</c:v>
              </c:pt>
              <c:pt idx="1">
                <c:v>19</c:v>
              </c:pt>
            </c:numLit>
          </c:xVal>
          <c:yVal>
            <c:numLit>
              <c:formatCode>General</c:formatCode>
              <c:ptCount val="2"/>
              <c:pt idx="0">
                <c:v>128</c:v>
              </c:pt>
              <c:pt idx="1">
                <c:v>148</c:v>
              </c:pt>
            </c:numLit>
          </c:yVal>
          <c:smooth val="0"/>
        </c:ser>
        <c:ser>
          <c:idx val="4"/>
          <c:order val="4"/>
          <c:tx>
            <c:v>Leg5</c:v>
          </c:tx>
          <c:spPr>
            <a:ln w="38100">
              <a:solidFill>
                <a:srgbClr val="000000"/>
              </a:solidFill>
              <a:prstDash val="solid"/>
            </a:ln>
          </c:spPr>
          <c:marker>
            <c:symbol val="circle"/>
            <c:size val="6"/>
            <c:spPr>
              <a:solidFill>
                <a:srgbClr val="00CCFF"/>
              </a:solidFill>
              <a:ln>
                <a:solidFill>
                  <a:srgbClr val="000000"/>
                </a:solidFill>
                <a:prstDash val="solid"/>
              </a:ln>
            </c:spPr>
          </c:marker>
          <c:dLbls>
            <c:dLbl>
              <c:idx val="0"/>
              <c:tx>
                <c:rich>
                  <a:bodyPr/>
                  <a:lstStyle/>
                  <a:p>
                    <a:pPr>
                      <a:defRPr sz="1000" b="0" i="0" u="none" strike="noStrike" baseline="0">
                        <a:solidFill>
                          <a:srgbClr val="000000"/>
                        </a:solidFill>
                        <a:latin typeface="Arial"/>
                        <a:ea typeface="Arial"/>
                        <a:cs typeface="Arial"/>
                      </a:defRPr>
                    </a:pPr>
                    <a:r>
                      <a:t>5</a:t>
                    </a:r>
                  </a:p>
                </c:rich>
              </c:tx>
              <c:spPr>
                <a:noFill/>
                <a:ln w="25400">
                  <a:noFill/>
                </a:ln>
              </c:spPr>
              <c:showLegendKey val="0"/>
              <c:showVal val="0"/>
              <c:showCatName val="0"/>
              <c:showSerName val="0"/>
              <c:showPercent val="0"/>
              <c:showBubbleSize val="0"/>
            </c:dLbl>
            <c:showLegendKey val="0"/>
            <c:showVal val="0"/>
            <c:showCatName val="0"/>
            <c:showSerName val="0"/>
            <c:showPercent val="0"/>
            <c:showBubbleSize val="0"/>
          </c:dLbls>
          <c:xVal>
            <c:numLit>
              <c:formatCode>General</c:formatCode>
              <c:ptCount val="2"/>
              <c:pt idx="0">
                <c:v>23</c:v>
              </c:pt>
              <c:pt idx="1">
                <c:v>23</c:v>
              </c:pt>
            </c:numLit>
          </c:xVal>
          <c:yVal>
            <c:numLit>
              <c:formatCode>General</c:formatCode>
              <c:ptCount val="2"/>
              <c:pt idx="0">
                <c:v>128</c:v>
              </c:pt>
              <c:pt idx="1">
                <c:v>148</c:v>
              </c:pt>
            </c:numLit>
          </c:yVal>
          <c:smooth val="0"/>
        </c:ser>
        <c:ser>
          <c:idx val="5"/>
          <c:order val="5"/>
          <c:tx>
            <c:v>Leg6</c:v>
          </c:tx>
          <c:spPr>
            <a:ln w="12700">
              <a:solidFill>
                <a:srgbClr val="000000"/>
              </a:solidFill>
              <a:prstDash val="solid"/>
            </a:ln>
          </c:spPr>
          <c:marker>
            <c:symbol val="circle"/>
            <c:size val="6"/>
            <c:spPr>
              <a:solidFill>
                <a:srgbClr val="FF0000"/>
              </a:solidFill>
              <a:ln>
                <a:solidFill>
                  <a:srgbClr val="000000"/>
                </a:solidFill>
                <a:prstDash val="solid"/>
              </a:ln>
            </c:spPr>
          </c:marker>
          <c:dLbls>
            <c:dLbl>
              <c:idx val="0"/>
              <c:tx>
                <c:rich>
                  <a:bodyPr/>
                  <a:lstStyle/>
                  <a:p>
                    <a:pPr>
                      <a:defRPr sz="1000" b="0" i="0" u="none" strike="noStrike" baseline="0">
                        <a:solidFill>
                          <a:srgbClr val="000000"/>
                        </a:solidFill>
                        <a:latin typeface="Arial"/>
                        <a:ea typeface="Arial"/>
                        <a:cs typeface="Arial"/>
                      </a:defRPr>
                    </a:pPr>
                    <a:r>
                      <a:t>6</a:t>
                    </a:r>
                  </a:p>
                </c:rich>
              </c:tx>
              <c:spPr>
                <a:noFill/>
                <a:ln w="25400">
                  <a:noFill/>
                </a:ln>
              </c:spPr>
              <c:showLegendKey val="0"/>
              <c:showVal val="0"/>
              <c:showCatName val="0"/>
              <c:showSerName val="0"/>
              <c:showPercent val="0"/>
              <c:showBubbleSize val="0"/>
            </c:dLbl>
            <c:dLbl>
              <c:idx val="1"/>
              <c:tx>
                <c:rich>
                  <a:bodyPr rot="-5400000" vert="horz"/>
                  <a:lstStyle/>
                  <a:p>
                    <a:pPr algn="ctr">
                      <a:defRPr sz="1000" b="0" i="0" u="none" strike="noStrike" baseline="0">
                        <a:solidFill>
                          <a:srgbClr val="000000"/>
                        </a:solidFill>
                        <a:latin typeface="Arial"/>
                        <a:ea typeface="Arial"/>
                        <a:cs typeface="Arial"/>
                      </a:defRPr>
                    </a:pPr>
                    <a:r>
                      <a:t>No Beam</a:t>
                    </a:r>
                  </a:p>
                </c:rich>
              </c:tx>
              <c:spPr>
                <a:noFill/>
                <a:ln w="25400">
                  <a:noFill/>
                </a:ln>
              </c:spPr>
              <c:dLblPos val="t"/>
              <c:showLegendKey val="0"/>
              <c:showVal val="0"/>
              <c:showCatName val="0"/>
              <c:showSerName val="0"/>
              <c:showPercent val="0"/>
              <c:showBubbleSize val="0"/>
            </c:dLbl>
            <c:showLegendKey val="0"/>
            <c:showVal val="0"/>
            <c:showCatName val="0"/>
            <c:showSerName val="0"/>
            <c:showPercent val="0"/>
            <c:showBubbleSize val="0"/>
          </c:dLbls>
          <c:xVal>
            <c:numLit>
              <c:formatCode>General</c:formatCode>
              <c:ptCount val="2"/>
              <c:pt idx="0">
                <c:v>27</c:v>
              </c:pt>
              <c:pt idx="1">
                <c:v>27</c:v>
              </c:pt>
            </c:numLit>
          </c:xVal>
          <c:yVal>
            <c:numLit>
              <c:formatCode>General</c:formatCode>
              <c:ptCount val="2"/>
              <c:pt idx="0">
                <c:v>128</c:v>
              </c:pt>
              <c:pt idx="1">
                <c:v>148</c:v>
              </c:pt>
            </c:numLit>
          </c:yVal>
          <c:smooth val="0"/>
        </c:ser>
        <c:ser>
          <c:idx val="6"/>
          <c:order val="6"/>
          <c:tx>
            <c:v>Leg7</c:v>
          </c:tx>
          <c:spPr>
            <a:ln w="38100">
              <a:solidFill>
                <a:srgbClr val="000000"/>
              </a:solidFill>
              <a:prstDash val="solid"/>
            </a:ln>
          </c:spPr>
          <c:marker>
            <c:symbol val="circle"/>
            <c:size val="6"/>
            <c:spPr>
              <a:solidFill>
                <a:srgbClr val="00CCFF"/>
              </a:solidFill>
              <a:ln>
                <a:solidFill>
                  <a:srgbClr val="000000"/>
                </a:solidFill>
                <a:prstDash val="solid"/>
              </a:ln>
            </c:spPr>
          </c:marker>
          <c:dLbls>
            <c:dLbl>
              <c:idx val="0"/>
              <c:tx>
                <c:rich>
                  <a:bodyPr/>
                  <a:lstStyle/>
                  <a:p>
                    <a:pPr>
                      <a:defRPr sz="1000" b="0" i="0" u="none" strike="noStrike" baseline="0">
                        <a:solidFill>
                          <a:srgbClr val="000000"/>
                        </a:solidFill>
                        <a:latin typeface="Arial"/>
                        <a:ea typeface="Arial"/>
                        <a:cs typeface="Arial"/>
                      </a:defRPr>
                    </a:pPr>
                    <a:r>
                      <a:t>7</a:t>
                    </a:r>
                  </a:p>
                </c:rich>
              </c:tx>
              <c:spPr>
                <a:noFill/>
                <a:ln w="25400">
                  <a:noFill/>
                </a:ln>
              </c:spPr>
              <c:showLegendKey val="0"/>
              <c:showVal val="0"/>
              <c:showCatName val="0"/>
              <c:showSerName val="0"/>
              <c:showPercent val="0"/>
              <c:showBubbleSize val="0"/>
            </c:dLbl>
            <c:showLegendKey val="0"/>
            <c:showVal val="0"/>
            <c:showCatName val="0"/>
            <c:showSerName val="0"/>
            <c:showPercent val="0"/>
            <c:showBubbleSize val="0"/>
          </c:dLbls>
          <c:xVal>
            <c:numLit>
              <c:formatCode>General</c:formatCode>
              <c:ptCount val="2"/>
              <c:pt idx="0">
                <c:v>35</c:v>
              </c:pt>
              <c:pt idx="1">
                <c:v>35</c:v>
              </c:pt>
            </c:numLit>
          </c:xVal>
          <c:yVal>
            <c:numLit>
              <c:formatCode>General</c:formatCode>
              <c:ptCount val="2"/>
              <c:pt idx="0">
                <c:v>128</c:v>
              </c:pt>
              <c:pt idx="1">
                <c:v>148</c:v>
              </c:pt>
            </c:numLit>
          </c:yVal>
          <c:smooth val="0"/>
        </c:ser>
        <c:ser>
          <c:idx val="7"/>
          <c:order val="7"/>
          <c:tx>
            <c:v>Leg8</c:v>
          </c:tx>
          <c:spPr>
            <a:ln w="38100">
              <a:solidFill>
                <a:srgbClr val="000000"/>
              </a:solidFill>
              <a:prstDash val="solid"/>
            </a:ln>
          </c:spPr>
          <c:marker>
            <c:symbol val="circle"/>
            <c:size val="6"/>
            <c:spPr>
              <a:solidFill>
                <a:srgbClr val="00CCFF"/>
              </a:solidFill>
              <a:ln>
                <a:solidFill>
                  <a:srgbClr val="000000"/>
                </a:solidFill>
                <a:prstDash val="solid"/>
              </a:ln>
            </c:spPr>
          </c:marker>
          <c:dLbls>
            <c:dLbl>
              <c:idx val="0"/>
              <c:tx>
                <c:rich>
                  <a:bodyPr/>
                  <a:lstStyle/>
                  <a:p>
                    <a:pPr>
                      <a:defRPr sz="1000" b="0" i="0" u="none" strike="noStrike" baseline="0">
                        <a:solidFill>
                          <a:srgbClr val="000000"/>
                        </a:solidFill>
                        <a:latin typeface="Arial"/>
                        <a:ea typeface="Arial"/>
                        <a:cs typeface="Arial"/>
                      </a:defRPr>
                    </a:pPr>
                    <a:r>
                      <a:t>8</a:t>
                    </a:r>
                  </a:p>
                </c:rich>
              </c:tx>
              <c:spPr>
                <a:noFill/>
                <a:ln w="25400">
                  <a:noFill/>
                </a:ln>
              </c:spPr>
              <c:showLegendKey val="0"/>
              <c:showVal val="0"/>
              <c:showCatName val="0"/>
              <c:showSerName val="0"/>
              <c:showPercent val="0"/>
              <c:showBubbleSize val="0"/>
            </c:dLbl>
            <c:showLegendKey val="0"/>
            <c:showVal val="0"/>
            <c:showCatName val="0"/>
            <c:showSerName val="0"/>
            <c:showPercent val="0"/>
            <c:showBubbleSize val="0"/>
          </c:dLbls>
          <c:xVal>
            <c:numLit>
              <c:formatCode>General</c:formatCode>
              <c:ptCount val="2"/>
              <c:pt idx="0">
                <c:v>40</c:v>
              </c:pt>
              <c:pt idx="1">
                <c:v>40</c:v>
              </c:pt>
            </c:numLit>
          </c:xVal>
          <c:yVal>
            <c:numLit>
              <c:formatCode>General</c:formatCode>
              <c:ptCount val="2"/>
              <c:pt idx="0">
                <c:v>128</c:v>
              </c:pt>
              <c:pt idx="1">
                <c:v>148</c:v>
              </c:pt>
            </c:numLit>
          </c:yVal>
          <c:smooth val="0"/>
        </c:ser>
        <c:ser>
          <c:idx val="8"/>
          <c:order val="8"/>
          <c:tx>
            <c:v>Brace1</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-6</c:v>
              </c:pt>
              <c:pt idx="1">
                <c:v>6</c:v>
              </c:pt>
            </c:numLit>
          </c:xVal>
          <c:yVal>
            <c:numLit>
              <c:formatCode>General</c:formatCode>
              <c:ptCount val="2"/>
              <c:pt idx="0">
                <c:v>132</c:v>
              </c:pt>
              <c:pt idx="1">
                <c:v>132</c:v>
              </c:pt>
            </c:numLit>
          </c:yVal>
          <c:smooth val="0"/>
        </c:ser>
        <c:ser>
          <c:idx val="9"/>
          <c:order val="9"/>
          <c:tx>
            <c:v>Brace2</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-6</c:v>
              </c:pt>
              <c:pt idx="1">
                <c:v>6</c:v>
              </c:pt>
            </c:numLit>
          </c:xVal>
          <c:yVal>
            <c:numLit>
              <c:formatCode>General</c:formatCode>
              <c:ptCount val="2"/>
              <c:pt idx="0">
                <c:v>140</c:v>
              </c:pt>
              <c:pt idx="1">
                <c:v>140</c:v>
              </c:pt>
            </c:numLit>
          </c:yVal>
          <c:smooth val="0"/>
        </c:ser>
        <c:ser>
          <c:idx val="10"/>
          <c:order val="10"/>
          <c:tx>
            <c:v>Brace3</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-6</c:v>
              </c:pt>
              <c:pt idx="1">
                <c:v>6</c:v>
              </c:pt>
            </c:numLit>
          </c:xVal>
          <c:yVal>
            <c:numLit>
              <c:formatCode>General</c:formatCode>
              <c:ptCount val="2"/>
              <c:pt idx="0">
                <c:v>148</c:v>
              </c:pt>
              <c:pt idx="1">
                <c:v>148</c:v>
              </c:pt>
            </c:numLit>
          </c:yVal>
          <c:smooth val="0"/>
        </c:ser>
        <c:ser>
          <c:idx val="11"/>
          <c:order val="11"/>
          <c:tx>
            <c:v>Brace4</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6</c:v>
              </c:pt>
              <c:pt idx="1">
                <c:v>11</c:v>
              </c:pt>
            </c:numLit>
          </c:xVal>
          <c:yVal>
            <c:numLit>
              <c:formatCode>General</c:formatCode>
              <c:ptCount val="2"/>
              <c:pt idx="0">
                <c:v>132</c:v>
              </c:pt>
              <c:pt idx="1">
                <c:v>132</c:v>
              </c:pt>
            </c:numLit>
          </c:yVal>
          <c:smooth val="0"/>
        </c:ser>
        <c:ser>
          <c:idx val="12"/>
          <c:order val="12"/>
          <c:tx>
            <c:v>Brace5</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6</c:v>
              </c:pt>
              <c:pt idx="1">
                <c:v>11</c:v>
              </c:pt>
            </c:numLit>
          </c:xVal>
          <c:yVal>
            <c:numLit>
              <c:formatCode>General</c:formatCode>
              <c:ptCount val="2"/>
              <c:pt idx="0">
                <c:v>140</c:v>
              </c:pt>
              <c:pt idx="1">
                <c:v>140</c:v>
              </c:pt>
            </c:numLit>
          </c:yVal>
          <c:smooth val="0"/>
        </c:ser>
        <c:ser>
          <c:idx val="13"/>
          <c:order val="13"/>
          <c:tx>
            <c:v>Brace6</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6</c:v>
              </c:pt>
              <c:pt idx="1">
                <c:v>11</c:v>
              </c:pt>
            </c:numLit>
          </c:xVal>
          <c:yVal>
            <c:numLit>
              <c:formatCode>General</c:formatCode>
              <c:ptCount val="2"/>
              <c:pt idx="0">
                <c:v>148</c:v>
              </c:pt>
              <c:pt idx="1">
                <c:v>148</c:v>
              </c:pt>
            </c:numLit>
          </c:yVal>
          <c:smooth val="0"/>
        </c:ser>
        <c:ser>
          <c:idx val="14"/>
          <c:order val="14"/>
          <c:tx>
            <c:v>Brace7</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11</c:v>
              </c:pt>
              <c:pt idx="1">
                <c:v>19</c:v>
              </c:pt>
            </c:numLit>
          </c:xVal>
          <c:yVal>
            <c:numLit>
              <c:formatCode>General</c:formatCode>
              <c:ptCount val="2"/>
              <c:pt idx="0">
                <c:v>132</c:v>
              </c:pt>
              <c:pt idx="1">
                <c:v>132</c:v>
              </c:pt>
            </c:numLit>
          </c:yVal>
          <c:smooth val="0"/>
        </c:ser>
        <c:ser>
          <c:idx val="15"/>
          <c:order val="15"/>
          <c:tx>
            <c:v>Brace8</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11</c:v>
              </c:pt>
              <c:pt idx="1">
                <c:v>19</c:v>
              </c:pt>
            </c:numLit>
          </c:xVal>
          <c:yVal>
            <c:numLit>
              <c:formatCode>General</c:formatCode>
              <c:ptCount val="2"/>
              <c:pt idx="0">
                <c:v>140</c:v>
              </c:pt>
              <c:pt idx="1">
                <c:v>140</c:v>
              </c:pt>
            </c:numLit>
          </c:yVal>
          <c:smooth val="0"/>
        </c:ser>
        <c:ser>
          <c:idx val="16"/>
          <c:order val="16"/>
          <c:tx>
            <c:v>Brace9</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11</c:v>
              </c:pt>
              <c:pt idx="1">
                <c:v>19</c:v>
              </c:pt>
            </c:numLit>
          </c:xVal>
          <c:yVal>
            <c:numLit>
              <c:formatCode>General</c:formatCode>
              <c:ptCount val="2"/>
              <c:pt idx="0">
                <c:v>148</c:v>
              </c:pt>
              <c:pt idx="1">
                <c:v>148</c:v>
              </c:pt>
            </c:numLit>
          </c:yVal>
          <c:smooth val="0"/>
        </c:ser>
        <c:ser>
          <c:idx val="17"/>
          <c:order val="17"/>
          <c:tx>
            <c:v>Brace10</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19</c:v>
              </c:pt>
              <c:pt idx="1">
                <c:v>23</c:v>
              </c:pt>
            </c:numLit>
          </c:xVal>
          <c:yVal>
            <c:numLit>
              <c:formatCode>General</c:formatCode>
              <c:ptCount val="2"/>
              <c:pt idx="0">
                <c:v>132</c:v>
              </c:pt>
              <c:pt idx="1">
                <c:v>132</c:v>
              </c:pt>
            </c:numLit>
          </c:yVal>
          <c:smooth val="0"/>
        </c:ser>
        <c:ser>
          <c:idx val="18"/>
          <c:order val="18"/>
          <c:tx>
            <c:v>Brace11</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19</c:v>
              </c:pt>
              <c:pt idx="1">
                <c:v>23</c:v>
              </c:pt>
            </c:numLit>
          </c:xVal>
          <c:yVal>
            <c:numLit>
              <c:formatCode>General</c:formatCode>
              <c:ptCount val="2"/>
              <c:pt idx="0">
                <c:v>140</c:v>
              </c:pt>
              <c:pt idx="1">
                <c:v>140</c:v>
              </c:pt>
            </c:numLit>
          </c:yVal>
          <c:smooth val="0"/>
        </c:ser>
        <c:ser>
          <c:idx val="19"/>
          <c:order val="19"/>
          <c:tx>
            <c:v>Brace12</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19</c:v>
              </c:pt>
              <c:pt idx="1">
                <c:v>23</c:v>
              </c:pt>
            </c:numLit>
          </c:xVal>
          <c:yVal>
            <c:numLit>
              <c:formatCode>General</c:formatCode>
              <c:ptCount val="2"/>
              <c:pt idx="0">
                <c:v>148</c:v>
              </c:pt>
              <c:pt idx="1">
                <c:v>148</c:v>
              </c:pt>
            </c:numLit>
          </c:yVal>
          <c:smooth val="0"/>
        </c:ser>
        <c:ser>
          <c:idx val="20"/>
          <c:order val="20"/>
          <c:tx>
            <c:v>Brace13</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23</c:v>
              </c:pt>
              <c:pt idx="1">
                <c:v>27</c:v>
              </c:pt>
            </c:numLit>
          </c:xVal>
          <c:yVal>
            <c:numLit>
              <c:formatCode>General</c:formatCode>
              <c:ptCount val="2"/>
              <c:pt idx="0">
                <c:v>132</c:v>
              </c:pt>
              <c:pt idx="1">
                <c:v>132</c:v>
              </c:pt>
            </c:numLit>
          </c:yVal>
          <c:smooth val="0"/>
        </c:ser>
        <c:ser>
          <c:idx val="21"/>
          <c:order val="21"/>
          <c:tx>
            <c:v>Brace14</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23</c:v>
              </c:pt>
              <c:pt idx="1">
                <c:v>27</c:v>
              </c:pt>
            </c:numLit>
          </c:xVal>
          <c:yVal>
            <c:numLit>
              <c:formatCode>General</c:formatCode>
              <c:ptCount val="2"/>
              <c:pt idx="0">
                <c:v>140</c:v>
              </c:pt>
              <c:pt idx="1">
                <c:v>140</c:v>
              </c:pt>
            </c:numLit>
          </c:yVal>
          <c:smooth val="0"/>
        </c:ser>
        <c:ser>
          <c:idx val="22"/>
          <c:order val="22"/>
          <c:tx>
            <c:v>Brace15</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23</c:v>
              </c:pt>
              <c:pt idx="1">
                <c:v>27</c:v>
              </c:pt>
            </c:numLit>
          </c:xVal>
          <c:yVal>
            <c:numLit>
              <c:formatCode>General</c:formatCode>
              <c:ptCount val="2"/>
              <c:pt idx="0">
                <c:v>148</c:v>
              </c:pt>
              <c:pt idx="1">
                <c:v>148</c:v>
              </c:pt>
            </c:numLit>
          </c:yVal>
          <c:smooth val="0"/>
        </c:ser>
        <c:ser>
          <c:idx val="23"/>
          <c:order val="23"/>
          <c:tx>
            <c:v>Brace16</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27</c:v>
              </c:pt>
              <c:pt idx="1">
                <c:v>35</c:v>
              </c:pt>
            </c:numLit>
          </c:xVal>
          <c:yVal>
            <c:numLit>
              <c:formatCode>General</c:formatCode>
              <c:ptCount val="2"/>
              <c:pt idx="0">
                <c:v>132</c:v>
              </c:pt>
              <c:pt idx="1">
                <c:v>132</c:v>
              </c:pt>
            </c:numLit>
          </c:yVal>
          <c:smooth val="0"/>
        </c:ser>
        <c:ser>
          <c:idx val="24"/>
          <c:order val="24"/>
          <c:tx>
            <c:v>Brace17</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27</c:v>
              </c:pt>
              <c:pt idx="1">
                <c:v>35</c:v>
              </c:pt>
            </c:numLit>
          </c:xVal>
          <c:yVal>
            <c:numLit>
              <c:formatCode>General</c:formatCode>
              <c:ptCount val="2"/>
              <c:pt idx="0">
                <c:v>140</c:v>
              </c:pt>
              <c:pt idx="1">
                <c:v>140</c:v>
              </c:pt>
            </c:numLit>
          </c:yVal>
          <c:smooth val="0"/>
        </c:ser>
        <c:ser>
          <c:idx val="25"/>
          <c:order val="25"/>
          <c:tx>
            <c:v>Brace18</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27</c:v>
              </c:pt>
              <c:pt idx="1">
                <c:v>35</c:v>
              </c:pt>
            </c:numLit>
          </c:xVal>
          <c:yVal>
            <c:numLit>
              <c:formatCode>General</c:formatCode>
              <c:ptCount val="2"/>
              <c:pt idx="0">
                <c:v>148</c:v>
              </c:pt>
              <c:pt idx="1">
                <c:v>148</c:v>
              </c:pt>
            </c:numLit>
          </c:yVal>
          <c:smooth val="0"/>
        </c:ser>
        <c:ser>
          <c:idx val="26"/>
          <c:order val="26"/>
          <c:tx>
            <c:v>Brace19</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35</c:v>
              </c:pt>
              <c:pt idx="1">
                <c:v>40</c:v>
              </c:pt>
            </c:numLit>
          </c:xVal>
          <c:yVal>
            <c:numLit>
              <c:formatCode>General</c:formatCode>
              <c:ptCount val="2"/>
              <c:pt idx="0">
                <c:v>132</c:v>
              </c:pt>
              <c:pt idx="1">
                <c:v>132</c:v>
              </c:pt>
            </c:numLit>
          </c:yVal>
          <c:smooth val="0"/>
        </c:ser>
        <c:ser>
          <c:idx val="27"/>
          <c:order val="27"/>
          <c:tx>
            <c:v>Brace20</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35</c:v>
              </c:pt>
              <c:pt idx="1">
                <c:v>40</c:v>
              </c:pt>
            </c:numLit>
          </c:xVal>
          <c:yVal>
            <c:numLit>
              <c:formatCode>General</c:formatCode>
              <c:ptCount val="2"/>
              <c:pt idx="0">
                <c:v>140</c:v>
              </c:pt>
              <c:pt idx="1">
                <c:v>140</c:v>
              </c:pt>
            </c:numLit>
          </c:yVal>
          <c:smooth val="0"/>
        </c:ser>
        <c:ser>
          <c:idx val="28"/>
          <c:order val="28"/>
          <c:tx>
            <c:v>Brace21</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35</c:v>
              </c:pt>
              <c:pt idx="1">
                <c:v>40</c:v>
              </c:pt>
            </c:numLit>
          </c:xVal>
          <c:yVal>
            <c:numLit>
              <c:formatCode>General</c:formatCode>
              <c:ptCount val="2"/>
              <c:pt idx="0">
                <c:v>148</c:v>
              </c:pt>
              <c:pt idx="1">
                <c:v>148</c:v>
              </c:pt>
            </c:numLit>
          </c:yVal>
          <c:smooth val="0"/>
        </c:ser>
        <c:ser>
          <c:idx val="29"/>
          <c:order val="29"/>
          <c:tx>
            <c:v>Brace22</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35</c:v>
              </c:pt>
              <c:pt idx="1">
                <c:v>40</c:v>
              </c:pt>
            </c:numLit>
          </c:xVal>
          <c:yVal>
            <c:numLit>
              <c:formatCode>General</c:formatCode>
              <c:ptCount val="2"/>
              <c:pt idx="0">
                <c:v>132</c:v>
              </c:pt>
              <c:pt idx="1">
                <c:v>140</c:v>
              </c:pt>
            </c:numLit>
          </c:yVal>
          <c:smooth val="0"/>
        </c:ser>
        <c:ser>
          <c:idx val="30"/>
          <c:order val="30"/>
          <c:tx>
            <c:v>Brace23</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35</c:v>
              </c:pt>
              <c:pt idx="1">
                <c:v>40</c:v>
              </c:pt>
            </c:numLit>
          </c:xVal>
          <c:yVal>
            <c:numLit>
              <c:formatCode>General</c:formatCode>
              <c:ptCount val="2"/>
              <c:pt idx="0">
                <c:v>140</c:v>
              </c:pt>
              <c:pt idx="1">
                <c:v>148</c:v>
              </c:pt>
            </c:numLit>
          </c:yVal>
          <c:smooth val="0"/>
        </c:ser>
        <c:ser>
          <c:idx val="31"/>
          <c:order val="31"/>
          <c:tx>
            <c:v>Brace24</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6</c:v>
              </c:pt>
              <c:pt idx="1">
                <c:v>11</c:v>
              </c:pt>
            </c:numLit>
          </c:xVal>
          <c:yVal>
            <c:numLit>
              <c:formatCode>General</c:formatCode>
              <c:ptCount val="2"/>
              <c:pt idx="0">
                <c:v>140</c:v>
              </c:pt>
              <c:pt idx="1">
                <c:v>132</c:v>
              </c:pt>
            </c:numLit>
          </c:yVal>
          <c:smooth val="0"/>
        </c:ser>
        <c:ser>
          <c:idx val="32"/>
          <c:order val="32"/>
          <c:tx>
            <c:v>Brace25</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6</c:v>
              </c:pt>
              <c:pt idx="1">
                <c:v>11</c:v>
              </c:pt>
            </c:numLit>
          </c:xVal>
          <c:yVal>
            <c:numLit>
              <c:formatCode>General</c:formatCode>
              <c:ptCount val="2"/>
              <c:pt idx="0">
                <c:v>148</c:v>
              </c:pt>
              <c:pt idx="1">
                <c:v>140</c:v>
              </c:pt>
            </c:numLit>
          </c:yVal>
          <c:smooth val="0"/>
        </c:ser>
        <c:ser>
          <c:idx val="33"/>
          <c:order val="33"/>
          <c:tx>
            <c:v>Brace26</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35</c:v>
              </c:pt>
              <c:pt idx="1">
                <c:v>40</c:v>
              </c:pt>
            </c:numLit>
          </c:xVal>
          <c:yVal>
            <c:numLit>
              <c:formatCode>General</c:formatCode>
              <c:ptCount val="2"/>
              <c:pt idx="0">
                <c:v>140</c:v>
              </c:pt>
              <c:pt idx="1">
                <c:v>132</c:v>
              </c:pt>
            </c:numLit>
          </c:yVal>
          <c:smooth val="0"/>
        </c:ser>
        <c:ser>
          <c:idx val="34"/>
          <c:order val="34"/>
          <c:tx>
            <c:v>Brace27</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35</c:v>
              </c:pt>
              <c:pt idx="1">
                <c:v>40</c:v>
              </c:pt>
            </c:numLit>
          </c:xVal>
          <c:yVal>
            <c:numLit>
              <c:formatCode>General</c:formatCode>
              <c:ptCount val="2"/>
              <c:pt idx="0">
                <c:v>148</c:v>
              </c:pt>
              <c:pt idx="1">
                <c:v>140</c:v>
              </c:pt>
            </c:numLit>
          </c:yVal>
          <c:smooth val="0"/>
        </c:ser>
        <c:dLbls>
          <c:showLegendKey val="0"/>
          <c:showVal val="0"/>
          <c:showCatName val="0"/>
          <c:showSerName val="0"/>
          <c:showPercent val="0"/>
          <c:showBubbleSize val="0"/>
        </c:dLbls>
        <c:axId val="164430976"/>
        <c:axId val="164433280"/>
      </c:scatterChart>
      <c:valAx>
        <c:axId val="164430976"/>
        <c:scaling>
          <c:orientation val="minMax"/>
          <c:max val="50"/>
          <c:min val="-10"/>
        </c:scaling>
        <c:delete val="0"/>
        <c:axPos val="b"/>
        <c:title>
          <c:tx>
            <c:rich>
              <a:bodyPr/>
              <a:lstStyle/>
              <a:p>
                <a:pPr>
                  <a:defRPr sz="1000" b="1" i="0" u="none" strike="noStrike" baseline="0">
                    <a:solidFill>
                      <a:srgbClr val="000000"/>
                    </a:solidFill>
                    <a:latin typeface="Arial"/>
                    <a:ea typeface="Arial"/>
                    <a:cs typeface="Arial"/>
                  </a:defRPr>
                </a:pPr>
                <a:r>
                  <a:rPr lang="nb-NO"/>
                  <a:t>X Axis</a:t>
                </a:r>
              </a:p>
            </c:rich>
          </c:tx>
          <c:layout>
            <c:manualLayout>
              <c:xMode val="edge"/>
              <c:yMode val="edge"/>
              <c:x val="0.49369769955226184"/>
              <c:y val="0.9036480205599298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b-NO"/>
          </a:p>
        </c:txPr>
        <c:crossAx val="164433280"/>
        <c:crosses val="autoZero"/>
        <c:crossBetween val="midCat"/>
      </c:valAx>
      <c:valAx>
        <c:axId val="164433280"/>
        <c:scaling>
          <c:orientation val="minMax"/>
          <c:max val="160"/>
          <c:min val="120"/>
        </c:scaling>
        <c:delete val="0"/>
        <c:axPos val="l"/>
        <c:title>
          <c:tx>
            <c:rich>
              <a:bodyPr/>
              <a:lstStyle/>
              <a:p>
                <a:pPr>
                  <a:defRPr sz="1000" b="1" i="0" u="none" strike="noStrike" baseline="0">
                    <a:solidFill>
                      <a:srgbClr val="000000"/>
                    </a:solidFill>
                    <a:latin typeface="Arial"/>
                    <a:ea typeface="Arial"/>
                    <a:cs typeface="Arial"/>
                  </a:defRPr>
                </a:pPr>
                <a:r>
                  <a:rPr lang="nb-NO"/>
                  <a:t>Z Axis</a:t>
                </a:r>
              </a:p>
            </c:rich>
          </c:tx>
          <c:layout>
            <c:manualLayout>
              <c:xMode val="edge"/>
              <c:yMode val="edge"/>
              <c:x val="1.5756302521008403E-2"/>
              <c:y val="0.4114594269466316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b-NO"/>
          </a:p>
        </c:txPr>
        <c:crossAx val="164430976"/>
        <c:crosses val="autoZero"/>
        <c:crossBetween val="midCat"/>
      </c:valAx>
      <c:spPr>
        <a:solidFill>
          <a:srgbClr val="CCFFFF"/>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nb-NO"/>
    </a:p>
  </c:txPr>
  <c:printSettings>
    <c:headerFooter alignWithMargins="0"/>
    <c:pageMargins b="1" l="0.75" r="0.75" t="1" header="0.5" footer="0.5"/>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4" Type="http://schemas.openxmlformats.org/officeDocument/2006/relationships/image" Target="../media/image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228600</xdr:colOff>
          <xdr:row>1</xdr:row>
          <xdr:rowOff>47625</xdr:rowOff>
        </xdr:from>
        <xdr:to>
          <xdr:col>17</xdr:col>
          <xdr:colOff>19050</xdr:colOff>
          <xdr:row>2</xdr:row>
          <xdr:rowOff>133350</xdr:rowOff>
        </xdr:to>
        <xdr:sp macro="" textlink="">
          <xdr:nvSpPr>
            <xdr:cNvPr id="1026" name="Write_js"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238125</xdr:colOff>
          <xdr:row>1</xdr:row>
          <xdr:rowOff>47625</xdr:rowOff>
        </xdr:from>
        <xdr:to>
          <xdr:col>12</xdr:col>
          <xdr:colOff>276225</xdr:colOff>
          <xdr:row>2</xdr:row>
          <xdr:rowOff>133350</xdr:rowOff>
        </xdr:to>
        <xdr:sp macro="" textlink="">
          <xdr:nvSpPr>
            <xdr:cNvPr id="1049" name="PreviewUpdate" hidden="1">
              <a:extLst>
                <a:ext uri="{63B3BB69-23CF-44E3-9099-C40C66FF867C}">
                  <a14:compatExt spid="_x0000_s1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26</xdr:col>
          <xdr:colOff>95250</xdr:colOff>
          <xdr:row>0</xdr:row>
          <xdr:rowOff>57150</xdr:rowOff>
        </xdr:from>
        <xdr:to>
          <xdr:col>29</xdr:col>
          <xdr:colOff>238125</xdr:colOff>
          <xdr:row>2</xdr:row>
          <xdr:rowOff>0</xdr:rowOff>
        </xdr:to>
        <xdr:sp macro="" textlink="">
          <xdr:nvSpPr>
            <xdr:cNvPr id="7481" name="ProtectionButton" hidden="1">
              <a:extLst>
                <a:ext uri="{63B3BB69-23CF-44E3-9099-C40C66FF867C}">
                  <a14:compatExt spid="_x0000_s74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295275</xdr:colOff>
          <xdr:row>1</xdr:row>
          <xdr:rowOff>47625</xdr:rowOff>
        </xdr:from>
        <xdr:to>
          <xdr:col>21</xdr:col>
          <xdr:colOff>9525</xdr:colOff>
          <xdr:row>2</xdr:row>
          <xdr:rowOff>133350</xdr:rowOff>
        </xdr:to>
        <xdr:sp macro="" textlink="">
          <xdr:nvSpPr>
            <xdr:cNvPr id="7696" name="Run_Genie" hidden="1">
              <a:extLst>
                <a:ext uri="{63B3BB69-23CF-44E3-9099-C40C66FF867C}">
                  <a14:compatExt spid="_x0000_s76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104775</xdr:colOff>
          <xdr:row>2</xdr:row>
          <xdr:rowOff>9525</xdr:rowOff>
        </xdr:from>
        <xdr:to>
          <xdr:col>29</xdr:col>
          <xdr:colOff>228600</xdr:colOff>
          <xdr:row>3</xdr:row>
          <xdr:rowOff>38100</xdr:rowOff>
        </xdr:to>
        <xdr:sp macro="" textlink="">
          <xdr:nvSpPr>
            <xdr:cNvPr id="9620" name="ToolbarsButton" hidden="1">
              <a:extLst>
                <a:ext uri="{63B3BB69-23CF-44E3-9099-C40C66FF867C}">
                  <a14:compatExt spid="_x0000_s96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1</xdr:row>
          <xdr:rowOff>47625</xdr:rowOff>
        </xdr:from>
        <xdr:to>
          <xdr:col>25</xdr:col>
          <xdr:colOff>38100</xdr:colOff>
          <xdr:row>2</xdr:row>
          <xdr:rowOff>133350</xdr:rowOff>
        </xdr:to>
        <xdr:sp macro="" textlink="">
          <xdr:nvSpPr>
            <xdr:cNvPr id="10062" name="HelpButton1" hidden="1">
              <a:extLst>
                <a:ext uri="{63B3BB69-23CF-44E3-9099-C40C66FF867C}">
                  <a14:compatExt spid="_x0000_s10062"/>
                </a:ext>
              </a:extLst>
            </xdr:cNvPr>
            <xdr:cNvSpPr/>
          </xdr:nvSpPr>
          <xdr:spPr>
            <a:xfrm>
              <a:off x="0" y="0"/>
              <a:ext cx="0" cy="0"/>
            </a:xfrm>
            <a:prstGeom prst="rect">
              <a:avLst/>
            </a:prstGeom>
          </xdr:spPr>
        </xdr:sp>
        <xdr:clientData/>
      </xdr:twoCellAnchor>
    </mc:Choice>
    <mc:Fallback/>
  </mc:AlternateContent>
  <xdr:twoCellAnchor>
    <xdr:from>
      <xdr:col>4</xdr:col>
      <xdr:colOff>0</xdr:colOff>
      <xdr:row>6</xdr:row>
      <xdr:rowOff>0</xdr:rowOff>
    </xdr:from>
    <xdr:to>
      <xdr:col>32</xdr:col>
      <xdr:colOff>0</xdr:colOff>
      <xdr:row>21</xdr:row>
      <xdr:rowOff>0</xdr:rowOff>
    </xdr:to>
    <xdr:graphicFrame macro="">
      <xdr:nvGraphicFramePr>
        <xdr:cNvPr id="5" name="XZ_Plo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30</xdr:row>
      <xdr:rowOff>0</xdr:rowOff>
    </xdr:from>
    <xdr:to>
      <xdr:col>32</xdr:col>
      <xdr:colOff>0</xdr:colOff>
      <xdr:row>45</xdr:row>
      <xdr:rowOff>0</xdr:rowOff>
    </xdr:to>
    <xdr:graphicFrame macro="">
      <xdr:nvGraphicFramePr>
        <xdr:cNvPr id="6" name="YZ_Plo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53</xdr:row>
      <xdr:rowOff>0</xdr:rowOff>
    </xdr:from>
    <xdr:to>
      <xdr:col>32</xdr:col>
      <xdr:colOff>0</xdr:colOff>
      <xdr:row>86</xdr:row>
      <xdr:rowOff>0</xdr:rowOff>
    </xdr:to>
    <xdr:graphicFrame macro="">
      <xdr:nvGraphicFramePr>
        <xdr:cNvPr id="7" name="XY_Plo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7</xdr:col>
      <xdr:colOff>0</xdr:colOff>
      <xdr:row>53</xdr:row>
      <xdr:rowOff>0</xdr:rowOff>
    </xdr:from>
    <xdr:to>
      <xdr:col>32</xdr:col>
      <xdr:colOff>0</xdr:colOff>
      <xdr:row>86</xdr:row>
      <xdr:rowOff>0</xdr:rowOff>
    </xdr:to>
    <xdr:graphicFrame macro="">
      <xdr:nvGraphicFramePr>
        <xdr:cNvPr id="10431" name="XY_Plo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30</xdr:row>
      <xdr:rowOff>0</xdr:rowOff>
    </xdr:from>
    <xdr:to>
      <xdr:col>32</xdr:col>
      <xdr:colOff>0</xdr:colOff>
      <xdr:row>45</xdr:row>
      <xdr:rowOff>0</xdr:rowOff>
    </xdr:to>
    <xdr:graphicFrame macro="">
      <xdr:nvGraphicFramePr>
        <xdr:cNvPr id="10432" name="YZ_Plo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6</xdr:row>
      <xdr:rowOff>0</xdr:rowOff>
    </xdr:from>
    <xdr:to>
      <xdr:col>32</xdr:col>
      <xdr:colOff>0</xdr:colOff>
      <xdr:row>21</xdr:row>
      <xdr:rowOff>0</xdr:rowOff>
    </xdr:to>
    <xdr:graphicFrame macro="">
      <xdr:nvGraphicFramePr>
        <xdr:cNvPr id="10433" name="XZ_Plo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21</xdr:col>
          <xdr:colOff>133350</xdr:colOff>
          <xdr:row>1</xdr:row>
          <xdr:rowOff>57150</xdr:rowOff>
        </xdr:from>
        <xdr:to>
          <xdr:col>30</xdr:col>
          <xdr:colOff>209550</xdr:colOff>
          <xdr:row>5</xdr:row>
          <xdr:rowOff>76200</xdr:rowOff>
        </xdr:to>
        <xdr:sp macro="" textlink="">
          <xdr:nvSpPr>
            <xdr:cNvPr id="10251" name="HelpButton" hidden="1">
              <a:extLst>
                <a:ext uri="{63B3BB69-23CF-44E3-9099-C40C66FF867C}">
                  <a14:compatExt spid="_x0000_s10251"/>
                </a:ext>
              </a:extLst>
            </xdr:cNvPr>
            <xdr:cNvSpPr/>
          </xdr:nvSpPr>
          <xdr:spPr>
            <a:xfrm>
              <a:off x="0" y="0"/>
              <a:ext cx="0" cy="0"/>
            </a:xfrm>
            <a:prstGeom prst="rect">
              <a:avLst/>
            </a:prstGeom>
          </xdr:spPr>
        </xdr:sp>
        <xdr:clientData/>
      </xdr:twoCellAnchor>
    </mc:Choice>
    <mc:Fallback/>
  </mc:AlternateContent>
  <xdr:twoCellAnchor>
    <xdr:from>
      <xdr:col>2</xdr:col>
      <xdr:colOff>57150</xdr:colOff>
      <xdr:row>7</xdr:row>
      <xdr:rowOff>57150</xdr:rowOff>
    </xdr:from>
    <xdr:to>
      <xdr:col>74</xdr:col>
      <xdr:colOff>457200</xdr:colOff>
      <xdr:row>38</xdr:row>
      <xdr:rowOff>0</xdr:rowOff>
    </xdr:to>
    <xdr:sp macro="" textlink="">
      <xdr:nvSpPr>
        <xdr:cNvPr id="10271" name="step13" hidden="1"/>
        <xdr:cNvSpPr>
          <a:spLocks noChangeArrowheads="1"/>
        </xdr:cNvSpPr>
      </xdr:nvSpPr>
      <xdr:spPr bwMode="auto">
        <a:xfrm>
          <a:off x="809625" y="1162050"/>
          <a:ext cx="13134975" cy="6829425"/>
        </a:xfrm>
        <a:prstGeom prst="wedgeRectCallout">
          <a:avLst>
            <a:gd name="adj1" fmla="val -9171"/>
            <a:gd name="adj2" fmla="val -40514"/>
          </a:avLst>
        </a:prstGeom>
        <a:solidFill>
          <a:srgbClr xmlns:mc="http://schemas.openxmlformats.org/markup-compatibility/2006" xmlns:a14="http://schemas.microsoft.com/office/drawing/2010/main" val="FFFFE1" mc:Ignorable="a14" a14:legacySpreadsheetColorIndex="80"/>
        </a:solidFill>
        <a:ln w="9525" algn="ctr">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txBody>
        <a:bodyPr vertOverflow="clip" wrap="square" lIns="360000" tIns="46800" rIns="90000" bIns="46800" anchor="t" upright="1"/>
        <a:lstStyle/>
        <a:p>
          <a:pPr algn="l" rtl="0">
            <a:lnSpc>
              <a:spcPts val="2900"/>
            </a:lnSpc>
            <a:defRPr sz="1000"/>
          </a:pPr>
          <a:r>
            <a:rPr lang="nb-NO" sz="2600" b="1" i="0" u="none" strike="noStrike" baseline="0">
              <a:solidFill>
                <a:srgbClr val="000000"/>
              </a:solidFill>
              <a:latin typeface="Arial"/>
              <a:cs typeface="Arial"/>
            </a:rPr>
            <a:t>About this Wizard</a:t>
          </a:r>
          <a:endParaRPr lang="nb-NO" sz="2600" b="0" i="0" u="none" strike="noStrike" baseline="0">
            <a:solidFill>
              <a:srgbClr val="000000"/>
            </a:solidFill>
            <a:latin typeface="Arial"/>
            <a:cs typeface="Arial"/>
          </a:endParaRPr>
        </a:p>
        <a:p>
          <a:pPr algn="l" rtl="0">
            <a:lnSpc>
              <a:spcPts val="2900"/>
            </a:lnSpc>
            <a:defRPr sz="1000"/>
          </a:pPr>
          <a:r>
            <a:rPr lang="nb-NO" sz="2600" b="0" i="0" u="none" strike="noStrike" baseline="0">
              <a:solidFill>
                <a:srgbClr val="000000"/>
              </a:solidFill>
              <a:latin typeface="Arial"/>
              <a:cs typeface="Arial"/>
            </a:rPr>
            <a:t>This wizard is based on a parameterized Genie input file utilizing Jscript</a:t>
          </a:r>
        </a:p>
        <a:p>
          <a:pPr algn="l" rtl="0">
            <a:lnSpc>
              <a:spcPts val="2900"/>
            </a:lnSpc>
            <a:defRPr sz="1000"/>
          </a:pPr>
          <a:r>
            <a:rPr lang="nb-NO" sz="2600" b="0" i="0" u="none" strike="noStrike" baseline="0">
              <a:solidFill>
                <a:srgbClr val="000000"/>
              </a:solidFill>
              <a:latin typeface="Arial"/>
              <a:cs typeface="Arial"/>
            </a:rPr>
            <a:t>The file has a general part and a specific part</a:t>
          </a:r>
        </a:p>
        <a:p>
          <a:pPr algn="l" rtl="0">
            <a:lnSpc>
              <a:spcPts val="2900"/>
            </a:lnSpc>
            <a:defRPr sz="1000"/>
          </a:pPr>
          <a:r>
            <a:rPr lang="nb-NO" sz="2600" b="0" i="0" u="none" strike="noStrike" baseline="0">
              <a:solidFill>
                <a:srgbClr val="000000"/>
              </a:solidFill>
              <a:latin typeface="Arial"/>
              <a:cs typeface="Arial"/>
            </a:rPr>
            <a:t>The specific part defines all dimensions for the current deck and assign these to variables</a:t>
          </a:r>
        </a:p>
        <a:p>
          <a:pPr algn="l" rtl="0">
            <a:lnSpc>
              <a:spcPts val="2900"/>
            </a:lnSpc>
            <a:defRPr sz="1000"/>
          </a:pPr>
          <a:r>
            <a:rPr lang="nb-NO" sz="2600" b="0" i="0" u="none" strike="noStrike" baseline="0">
              <a:solidFill>
                <a:srgbClr val="000000"/>
              </a:solidFill>
              <a:latin typeface="Arial"/>
              <a:cs typeface="Arial"/>
            </a:rPr>
            <a:t>This part is written to the Output sheet, column A when you press Run Genie</a:t>
          </a:r>
        </a:p>
        <a:p>
          <a:pPr algn="l" rtl="0">
            <a:lnSpc>
              <a:spcPts val="2900"/>
            </a:lnSpc>
            <a:defRPr sz="1000"/>
          </a:pPr>
          <a:r>
            <a:rPr lang="nb-NO" sz="2600" b="0" i="0" u="none" strike="noStrike" baseline="0">
              <a:solidFill>
                <a:srgbClr val="000000"/>
              </a:solidFill>
              <a:latin typeface="Arial"/>
              <a:cs typeface="Arial"/>
            </a:rPr>
            <a:t>The general part creates the deck model based on the variables given in the specific part</a:t>
          </a:r>
        </a:p>
        <a:p>
          <a:pPr algn="l" rtl="0">
            <a:lnSpc>
              <a:spcPts val="2900"/>
            </a:lnSpc>
            <a:defRPr sz="1000"/>
          </a:pPr>
          <a:r>
            <a:rPr lang="nb-NO" sz="2600" b="0" i="0" u="none" strike="noStrike" baseline="0">
              <a:solidFill>
                <a:srgbClr val="000000"/>
              </a:solidFill>
              <a:latin typeface="Arial"/>
              <a:cs typeface="Arial"/>
            </a:rPr>
            <a:t>The general part is stored on the Output sheet in column B. You may modify the wizard by editing this script</a:t>
          </a:r>
        </a:p>
        <a:p>
          <a:pPr algn="l" rtl="0">
            <a:lnSpc>
              <a:spcPts val="2800"/>
            </a:lnSpc>
            <a:defRPr sz="1000"/>
          </a:pPr>
          <a:r>
            <a:rPr lang="nb-NO" sz="2600" b="0" i="0" u="none" strike="noStrike" baseline="0">
              <a:solidFill>
                <a:srgbClr val="000000"/>
              </a:solidFill>
              <a:latin typeface="Arial"/>
              <a:cs typeface="Arial"/>
            </a:rPr>
            <a:t>Excel is used as an user interface to record the dimensions and provide a preview. </a:t>
          </a:r>
        </a:p>
        <a:p>
          <a:pPr algn="l" rtl="0">
            <a:lnSpc>
              <a:spcPts val="2900"/>
            </a:lnSpc>
            <a:defRPr sz="1000"/>
          </a:pPr>
          <a:r>
            <a:rPr lang="nb-NO" sz="2600" b="0" i="0" u="none" strike="noStrike" baseline="0">
              <a:solidFill>
                <a:srgbClr val="000000"/>
              </a:solidFill>
              <a:latin typeface="Arial"/>
              <a:cs typeface="Arial"/>
            </a:rPr>
            <a:t>Transfer of data from Excel to Genie is handled by a VBA script stored in this workbook</a:t>
          </a:r>
        </a:p>
        <a:p>
          <a:pPr algn="l" rtl="0">
            <a:lnSpc>
              <a:spcPts val="2800"/>
            </a:lnSpc>
            <a:defRPr sz="1000"/>
          </a:pPr>
          <a:endParaRPr lang="nb-NO" sz="2600" b="0" i="0" u="none" strike="noStrike" baseline="0">
            <a:solidFill>
              <a:srgbClr val="000000"/>
            </a:solidFill>
            <a:latin typeface="Arial"/>
            <a:cs typeface="Arial"/>
          </a:endParaRPr>
        </a:p>
        <a:p>
          <a:pPr algn="l" rtl="0">
            <a:lnSpc>
              <a:spcPts val="2800"/>
            </a:lnSpc>
            <a:defRPr sz="1000"/>
          </a:pPr>
          <a:r>
            <a:rPr lang="nb-NO" sz="2600" b="0" i="0" u="none" strike="noStrike" baseline="0">
              <a:solidFill>
                <a:srgbClr val="000000"/>
              </a:solidFill>
              <a:latin typeface="Arial"/>
              <a:cs typeface="Arial"/>
            </a:rPr>
            <a:t>The workbook is protected with password: wizard_of_oz</a:t>
          </a:r>
        </a:p>
        <a:p>
          <a:pPr algn="l" rtl="0">
            <a:lnSpc>
              <a:spcPts val="2900"/>
            </a:lnSpc>
            <a:defRPr sz="1000"/>
          </a:pPr>
          <a:r>
            <a:rPr lang="nb-NO" sz="2600" b="0" i="0" u="none" strike="noStrike" baseline="0">
              <a:solidFill>
                <a:srgbClr val="000000"/>
              </a:solidFill>
              <a:latin typeface="Arial"/>
              <a:cs typeface="Arial"/>
            </a:rPr>
            <a:t>The Preview, Write and Run buttons will turn on the protection. For further development you may use the Protection and Toolbars buttons to toggle protection and restore normal toolbars conveniently.</a:t>
          </a:r>
        </a:p>
        <a:p>
          <a:pPr algn="l" rtl="0">
            <a:lnSpc>
              <a:spcPts val="1000"/>
            </a:lnSpc>
            <a:defRPr sz="1000"/>
          </a:pPr>
          <a:endParaRPr lang="nb-NO"/>
        </a:p>
      </xdr:txBody>
    </xdr:sp>
    <xdr:clientData/>
  </xdr:twoCellAnchor>
  <xdr:twoCellAnchor>
    <xdr:from>
      <xdr:col>3</xdr:col>
      <xdr:colOff>342900</xdr:colOff>
      <xdr:row>7</xdr:row>
      <xdr:rowOff>190500</xdr:rowOff>
    </xdr:from>
    <xdr:to>
      <xdr:col>70</xdr:col>
      <xdr:colOff>190500</xdr:colOff>
      <xdr:row>19</xdr:row>
      <xdr:rowOff>133350</xdr:rowOff>
    </xdr:to>
    <xdr:sp macro="" textlink="">
      <xdr:nvSpPr>
        <xdr:cNvPr id="10272" name="step14" hidden="1"/>
        <xdr:cNvSpPr>
          <a:spLocks noChangeArrowheads="1"/>
        </xdr:cNvSpPr>
      </xdr:nvSpPr>
      <xdr:spPr bwMode="auto">
        <a:xfrm>
          <a:off x="1676400" y="1295400"/>
          <a:ext cx="9563100" cy="2914650"/>
        </a:xfrm>
        <a:prstGeom prst="wedgeRectCallout">
          <a:avLst>
            <a:gd name="adj1" fmla="val 9361"/>
            <a:gd name="adj2" fmla="val 20588"/>
          </a:avLst>
        </a:prstGeom>
        <a:solidFill>
          <a:srgbClr xmlns:mc="http://schemas.openxmlformats.org/markup-compatibility/2006" xmlns:a14="http://schemas.microsoft.com/office/drawing/2010/main" val="FFFFE1" mc:Ignorable="a14" a14:legacySpreadsheetColorIndex="80"/>
        </a:solidFill>
        <a:ln w="9525" algn="ctr">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txBody>
        <a:bodyPr vertOverflow="clip" wrap="square" lIns="360000" tIns="360000" rIns="360000" bIns="360000" anchor="ctr" upright="1"/>
        <a:lstStyle/>
        <a:p>
          <a:pPr algn="l" rtl="0">
            <a:defRPr sz="1000"/>
          </a:pPr>
          <a:r>
            <a:rPr lang="nb-NO" sz="2600" b="0" i="0" u="none" strike="noStrike" baseline="0">
              <a:solidFill>
                <a:srgbClr val="000000"/>
              </a:solidFill>
              <a:latin typeface="Arial"/>
              <a:cs typeface="Arial"/>
            </a:rPr>
            <a:t>Note:</a:t>
          </a:r>
        </a:p>
        <a:p>
          <a:pPr algn="l" rtl="0">
            <a:defRPr sz="1000"/>
          </a:pPr>
          <a:r>
            <a:rPr lang="nb-NO" sz="2600" b="0" i="0" u="none" strike="noStrike" baseline="0">
              <a:solidFill>
                <a:srgbClr val="000000"/>
              </a:solidFill>
              <a:latin typeface="Arial"/>
              <a:cs typeface="Arial"/>
            </a:rPr>
            <a:t>Do not use "Cut/Paste", Ctrl-X/Ctrl-V to move data.  This will cause references to the cells you paste into to be invalid. Copy/Paste will work fine. This is general behaviour of Excel.</a:t>
          </a:r>
          <a:endParaRPr lang="nb-NO"/>
        </a:p>
      </xdr:txBody>
    </xdr:sp>
    <xdr:clientData/>
  </xdr:twoCellAnchor>
  <xdr:twoCellAnchor editAs="oneCell">
    <xdr:from>
      <xdr:col>9</xdr:col>
      <xdr:colOff>142875</xdr:colOff>
      <xdr:row>1</xdr:row>
      <xdr:rowOff>19050</xdr:rowOff>
    </xdr:from>
    <xdr:to>
      <xdr:col>21</xdr:col>
      <xdr:colOff>85725</xdr:colOff>
      <xdr:row>3</xdr:row>
      <xdr:rowOff>0</xdr:rowOff>
    </xdr:to>
    <xdr:pic>
      <xdr:nvPicPr>
        <xdr:cNvPr id="10436" name="Picture 40"/>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743325" y="95250"/>
          <a:ext cx="3829050" cy="43815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xdr:col>
      <xdr:colOff>114300</xdr:colOff>
      <xdr:row>9</xdr:row>
      <xdr:rowOff>152400</xdr:rowOff>
    </xdr:from>
    <xdr:to>
      <xdr:col>71</xdr:col>
      <xdr:colOff>57150</xdr:colOff>
      <xdr:row>20</xdr:row>
      <xdr:rowOff>95250</xdr:rowOff>
    </xdr:to>
    <xdr:sp macro="" textlink="">
      <xdr:nvSpPr>
        <xdr:cNvPr id="10248" name="step1"/>
        <xdr:cNvSpPr>
          <a:spLocks noChangeArrowheads="1"/>
        </xdr:cNvSpPr>
      </xdr:nvSpPr>
      <xdr:spPr bwMode="auto">
        <a:xfrm>
          <a:off x="866775" y="1752600"/>
          <a:ext cx="10848975" cy="2667000"/>
        </a:xfrm>
        <a:prstGeom prst="wedgeRectCallout">
          <a:avLst>
            <a:gd name="adj1" fmla="val -39463"/>
            <a:gd name="adj2" fmla="val -98569"/>
          </a:avLst>
        </a:prstGeom>
        <a:solidFill>
          <a:srgbClr xmlns:mc="http://schemas.openxmlformats.org/markup-compatibility/2006" xmlns:a14="http://schemas.microsoft.com/office/drawing/2010/main" val="FFFFE1" mc:Ignorable="a14" a14:legacySpreadsheetColorIndex="80"/>
        </a:solidFill>
        <a:ln w="9525" algn="ctr">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txBody>
        <a:bodyPr vertOverflow="clip" wrap="square" lIns="360000" tIns="46800" rIns="90000" bIns="46800" anchor="ctr" upright="1"/>
        <a:lstStyle/>
        <a:p>
          <a:pPr algn="l" rtl="0">
            <a:lnSpc>
              <a:spcPts val="2600"/>
            </a:lnSpc>
            <a:defRPr sz="1000"/>
          </a:pPr>
          <a:r>
            <a:rPr lang="nb-NO" sz="2600" b="0" i="0" u="none" strike="noStrike" baseline="0">
              <a:solidFill>
                <a:srgbClr val="000000"/>
              </a:solidFill>
              <a:latin typeface="Arial"/>
              <a:cs typeface="Arial"/>
            </a:rPr>
            <a:t>Step 1</a:t>
          </a:r>
        </a:p>
        <a:p>
          <a:pPr algn="l" rtl="0">
            <a:lnSpc>
              <a:spcPts val="2500"/>
            </a:lnSpc>
            <a:defRPr sz="1000"/>
          </a:pPr>
          <a:r>
            <a:rPr lang="nb-NO" sz="2600" b="0" i="0" u="none" strike="noStrike" baseline="0">
              <a:solidFill>
                <a:srgbClr val="000000"/>
              </a:solidFill>
              <a:latin typeface="Arial"/>
              <a:cs typeface="Arial"/>
            </a:rPr>
            <a:t>Enter the project title</a:t>
          </a:r>
        </a:p>
        <a:p>
          <a:pPr algn="l" rtl="0">
            <a:lnSpc>
              <a:spcPts val="2600"/>
            </a:lnSpc>
            <a:defRPr sz="1000"/>
          </a:pPr>
          <a:r>
            <a:rPr lang="nb-NO" sz="2600" b="0" i="0" u="none" strike="noStrike" baseline="0">
              <a:solidFill>
                <a:srgbClr val="000000"/>
              </a:solidFill>
              <a:latin typeface="Arial"/>
              <a:cs typeface="Arial"/>
            </a:rPr>
            <a:t>The title is used for naming the Genie database and the Genie input file</a:t>
          </a:r>
        </a:p>
        <a:p>
          <a:pPr algn="l" rtl="0">
            <a:lnSpc>
              <a:spcPts val="2600"/>
            </a:lnSpc>
            <a:defRPr sz="1000"/>
          </a:pPr>
          <a:r>
            <a:rPr lang="nb-NO" sz="2600" b="0" i="0" u="none" strike="noStrike" baseline="0">
              <a:solidFill>
                <a:srgbClr val="000000"/>
              </a:solidFill>
              <a:latin typeface="Arial"/>
              <a:cs typeface="Arial"/>
            </a:rPr>
            <a:t>The title must be legal as a file name, without blanks</a:t>
          </a:r>
          <a:endParaRPr lang="nb-NO"/>
        </a:p>
      </xdr:txBody>
    </xdr:sp>
    <xdr:clientData/>
  </xdr:twoCellAnchor>
  <xdr:twoCellAnchor>
    <xdr:from>
      <xdr:col>2</xdr:col>
      <xdr:colOff>438150</xdr:colOff>
      <xdr:row>8</xdr:row>
      <xdr:rowOff>57150</xdr:rowOff>
    </xdr:from>
    <xdr:to>
      <xdr:col>26</xdr:col>
      <xdr:colOff>9525</xdr:colOff>
      <xdr:row>22</xdr:row>
      <xdr:rowOff>123825</xdr:rowOff>
    </xdr:to>
    <xdr:sp macro="" textlink="">
      <xdr:nvSpPr>
        <xdr:cNvPr id="10249" name="step2" hidden="1"/>
        <xdr:cNvSpPr>
          <a:spLocks noChangeArrowheads="1"/>
        </xdr:cNvSpPr>
      </xdr:nvSpPr>
      <xdr:spPr bwMode="auto">
        <a:xfrm>
          <a:off x="1190625" y="1409700"/>
          <a:ext cx="7924800" cy="3448050"/>
        </a:xfrm>
        <a:prstGeom prst="wedgeRectCallout">
          <a:avLst>
            <a:gd name="adj1" fmla="val -24102"/>
            <a:gd name="adj2" fmla="val 77472"/>
          </a:avLst>
        </a:prstGeom>
        <a:solidFill>
          <a:srgbClr xmlns:mc="http://schemas.openxmlformats.org/markup-compatibility/2006" xmlns:a14="http://schemas.microsoft.com/office/drawing/2010/main" val="FFFFE1" mc:Ignorable="a14" a14:legacySpreadsheetColorIndex="80"/>
        </a:solidFill>
        <a:ln w="9525" algn="ctr">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txBody>
        <a:bodyPr vertOverflow="clip" wrap="square" lIns="360000" tIns="46800" rIns="90000" bIns="46800" anchor="ctr" upright="1"/>
        <a:lstStyle/>
        <a:p>
          <a:pPr algn="l" rtl="0">
            <a:defRPr sz="1000"/>
          </a:pPr>
          <a:r>
            <a:rPr lang="nb-NO" sz="2600" b="0" i="0" u="none" strike="noStrike" baseline="0">
              <a:solidFill>
                <a:srgbClr val="000000"/>
              </a:solidFill>
              <a:latin typeface="Arial"/>
              <a:cs typeface="Arial"/>
            </a:rPr>
            <a:t>Step 2</a:t>
          </a:r>
        </a:p>
        <a:p>
          <a:pPr algn="l" rtl="0">
            <a:defRPr sz="1000"/>
          </a:pPr>
          <a:r>
            <a:rPr lang="nb-NO" sz="2600" b="0" i="0" u="none" strike="noStrike" baseline="0">
              <a:solidFill>
                <a:srgbClr val="000000"/>
              </a:solidFill>
              <a:latin typeface="Arial"/>
              <a:cs typeface="Arial"/>
            </a:rPr>
            <a:t>Open the "General" sheet and fill in:</a:t>
          </a:r>
        </a:p>
        <a:p>
          <a:pPr algn="l" rtl="0">
            <a:defRPr sz="1000"/>
          </a:pPr>
          <a:r>
            <a:rPr lang="nb-NO" sz="2600" b="0" i="0" u="none" strike="noStrike" baseline="0">
              <a:solidFill>
                <a:srgbClr val="000000"/>
              </a:solidFill>
              <a:latin typeface="Arial"/>
              <a:cs typeface="Arial"/>
            </a:rPr>
            <a:t>     - The location of the Genie Program</a:t>
          </a:r>
        </a:p>
        <a:p>
          <a:pPr algn="l" rtl="0">
            <a:defRPr sz="1000"/>
          </a:pPr>
          <a:r>
            <a:rPr lang="nb-NO" sz="2600" b="0" i="0" u="none" strike="noStrike" baseline="0">
              <a:solidFill>
                <a:srgbClr val="000000"/>
              </a:solidFill>
              <a:latin typeface="Arial"/>
              <a:cs typeface="Arial"/>
            </a:rPr>
            <a:t>     - Valid beam cross sections</a:t>
          </a:r>
        </a:p>
        <a:p>
          <a:pPr algn="l" rtl="0">
            <a:defRPr sz="1000"/>
          </a:pPr>
          <a:r>
            <a:rPr lang="nb-NO" sz="2600" b="0" i="0" u="none" strike="noStrike" baseline="0">
              <a:solidFill>
                <a:srgbClr val="000000"/>
              </a:solidFill>
              <a:latin typeface="Arial"/>
              <a:cs typeface="Arial"/>
            </a:rPr>
            <a:t>     - Valid materials</a:t>
          </a:r>
        </a:p>
        <a:p>
          <a:pPr algn="l" rtl="0">
            <a:defRPr sz="1000"/>
          </a:pPr>
          <a:r>
            <a:rPr lang="nb-NO" sz="2600" b="0" i="0" u="none" strike="noStrike" baseline="0">
              <a:solidFill>
                <a:srgbClr val="000000"/>
              </a:solidFill>
              <a:latin typeface="Arial"/>
              <a:cs typeface="Arial"/>
            </a:rPr>
            <a:t>     - Beam naming conventions</a:t>
          </a:r>
          <a:endParaRPr lang="nb-NO"/>
        </a:p>
      </xdr:txBody>
    </xdr:sp>
    <xdr:clientData/>
  </xdr:twoCellAnchor>
  <xdr:twoCellAnchor>
    <xdr:from>
      <xdr:col>4</xdr:col>
      <xdr:colOff>95250</xdr:colOff>
      <xdr:row>19</xdr:row>
      <xdr:rowOff>209550</xdr:rowOff>
    </xdr:from>
    <xdr:to>
      <xdr:col>25</xdr:col>
      <xdr:colOff>209550</xdr:colOff>
      <xdr:row>31</xdr:row>
      <xdr:rowOff>57150</xdr:rowOff>
    </xdr:to>
    <xdr:sp macro="" textlink="">
      <xdr:nvSpPr>
        <xdr:cNvPr id="10250" name="step3" hidden="1"/>
        <xdr:cNvSpPr>
          <a:spLocks noChangeArrowheads="1"/>
        </xdr:cNvSpPr>
      </xdr:nvSpPr>
      <xdr:spPr bwMode="auto">
        <a:xfrm>
          <a:off x="2076450" y="4286250"/>
          <a:ext cx="6915150" cy="2028825"/>
        </a:xfrm>
        <a:prstGeom prst="wedgeRectCallout">
          <a:avLst>
            <a:gd name="adj1" fmla="val -48069"/>
            <a:gd name="adj2" fmla="val 283333"/>
          </a:avLst>
        </a:prstGeom>
        <a:solidFill>
          <a:srgbClr xmlns:mc="http://schemas.openxmlformats.org/markup-compatibility/2006" xmlns:a14="http://schemas.microsoft.com/office/drawing/2010/main" val="FFFFE1" mc:Ignorable="a14" a14:legacySpreadsheetColorIndex="80"/>
        </a:solidFill>
        <a:ln w="9525" algn="ctr">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txBody>
        <a:bodyPr vertOverflow="clip" wrap="square" lIns="360000" tIns="46800" rIns="90000" bIns="46800" anchor="ctr" upright="1"/>
        <a:lstStyle/>
        <a:p>
          <a:pPr algn="l" rtl="0">
            <a:defRPr sz="1000"/>
          </a:pPr>
          <a:r>
            <a:rPr lang="nb-NO" sz="2600" b="0" i="0" u="none" strike="noStrike" baseline="0">
              <a:solidFill>
                <a:srgbClr val="000000"/>
              </a:solidFill>
              <a:latin typeface="Arial"/>
              <a:cs typeface="Arial"/>
            </a:rPr>
            <a:t>Step 3</a:t>
          </a:r>
        </a:p>
        <a:p>
          <a:pPr algn="l" rtl="0">
            <a:defRPr sz="1000"/>
          </a:pPr>
          <a:r>
            <a:rPr lang="nb-NO" sz="2600" b="0" i="0" u="none" strike="noStrike" baseline="0">
              <a:solidFill>
                <a:srgbClr val="000000"/>
              </a:solidFill>
              <a:latin typeface="Arial"/>
              <a:cs typeface="Arial"/>
            </a:rPr>
            <a:t>Select cross sections for columns and bracings, material and database units in the General data table.</a:t>
          </a:r>
          <a:endParaRPr lang="nb-NO"/>
        </a:p>
      </xdr:txBody>
    </xdr:sp>
    <xdr:clientData/>
  </xdr:twoCellAnchor>
  <xdr:twoCellAnchor>
    <xdr:from>
      <xdr:col>3</xdr:col>
      <xdr:colOff>342900</xdr:colOff>
      <xdr:row>9</xdr:row>
      <xdr:rowOff>57150</xdr:rowOff>
    </xdr:from>
    <xdr:to>
      <xdr:col>24</xdr:col>
      <xdr:colOff>19050</xdr:colOff>
      <xdr:row>16</xdr:row>
      <xdr:rowOff>114300</xdr:rowOff>
    </xdr:to>
    <xdr:sp macro="" textlink="">
      <xdr:nvSpPr>
        <xdr:cNvPr id="10262" name="step4" hidden="1"/>
        <xdr:cNvSpPr>
          <a:spLocks noChangeArrowheads="1"/>
        </xdr:cNvSpPr>
      </xdr:nvSpPr>
      <xdr:spPr bwMode="auto">
        <a:xfrm>
          <a:off x="1676400" y="1657350"/>
          <a:ext cx="6800850" cy="1790700"/>
        </a:xfrm>
        <a:prstGeom prst="wedgeRectCallout">
          <a:avLst>
            <a:gd name="adj1" fmla="val -58403"/>
            <a:gd name="adj2" fmla="val 97343"/>
          </a:avLst>
        </a:prstGeom>
        <a:solidFill>
          <a:srgbClr xmlns:mc="http://schemas.openxmlformats.org/markup-compatibility/2006" xmlns:a14="http://schemas.microsoft.com/office/drawing/2010/main" val="FFFFE1" mc:Ignorable="a14" a14:legacySpreadsheetColorIndex="80"/>
        </a:solidFill>
        <a:ln w="9525" algn="ctr">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txBody>
        <a:bodyPr vertOverflow="clip" wrap="square" lIns="360000" tIns="46800" rIns="90000" bIns="46800" anchor="ctr" upright="1"/>
        <a:lstStyle/>
        <a:p>
          <a:pPr algn="l" rtl="0">
            <a:defRPr sz="1000"/>
          </a:pPr>
          <a:r>
            <a:rPr lang="nb-NO" sz="2600" b="0" i="0" u="none" strike="noStrike" baseline="0">
              <a:solidFill>
                <a:srgbClr val="000000"/>
              </a:solidFill>
              <a:latin typeface="Arial"/>
              <a:cs typeface="Arial"/>
            </a:rPr>
            <a:t>Step 4</a:t>
          </a:r>
        </a:p>
        <a:p>
          <a:pPr algn="l" rtl="0">
            <a:defRPr sz="1000"/>
          </a:pPr>
          <a:r>
            <a:rPr lang="nb-NO" sz="2600" b="0" i="0" u="none" strike="noStrike" baseline="0">
              <a:solidFill>
                <a:srgbClr val="000000"/>
              </a:solidFill>
              <a:latin typeface="Arial"/>
              <a:cs typeface="Arial"/>
            </a:rPr>
            <a:t>Enter the elevation of the deck interface </a:t>
          </a:r>
          <a:endParaRPr lang="nb-NO"/>
        </a:p>
      </xdr:txBody>
    </xdr:sp>
    <xdr:clientData/>
  </xdr:twoCellAnchor>
  <xdr:twoCellAnchor>
    <xdr:from>
      <xdr:col>8</xdr:col>
      <xdr:colOff>247650</xdr:colOff>
      <xdr:row>9</xdr:row>
      <xdr:rowOff>133350</xdr:rowOff>
    </xdr:from>
    <xdr:to>
      <xdr:col>29</xdr:col>
      <xdr:colOff>0</xdr:colOff>
      <xdr:row>19</xdr:row>
      <xdr:rowOff>114300</xdr:rowOff>
    </xdr:to>
    <xdr:sp macro="" textlink="">
      <xdr:nvSpPr>
        <xdr:cNvPr id="10263" name="step5" hidden="1"/>
        <xdr:cNvSpPr>
          <a:spLocks noChangeArrowheads="1"/>
        </xdr:cNvSpPr>
      </xdr:nvSpPr>
      <xdr:spPr bwMode="auto">
        <a:xfrm>
          <a:off x="3524250" y="1733550"/>
          <a:ext cx="6553200" cy="2457450"/>
        </a:xfrm>
        <a:prstGeom prst="wedgeRectCallout">
          <a:avLst>
            <a:gd name="adj1" fmla="val -75583"/>
            <a:gd name="adj2" fmla="val 38370"/>
          </a:avLst>
        </a:prstGeom>
        <a:solidFill>
          <a:srgbClr xmlns:mc="http://schemas.openxmlformats.org/markup-compatibility/2006" xmlns:a14="http://schemas.microsoft.com/office/drawing/2010/main" val="FFFFE1" mc:Ignorable="a14" a14:legacySpreadsheetColorIndex="80"/>
        </a:solidFill>
        <a:ln w="9525" algn="ctr">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txBody>
        <a:bodyPr vertOverflow="clip" wrap="square" lIns="360000" tIns="46800" rIns="90000" bIns="46800" anchor="ctr" upright="1"/>
        <a:lstStyle/>
        <a:p>
          <a:pPr algn="l" rtl="0">
            <a:defRPr sz="1000"/>
          </a:pPr>
          <a:r>
            <a:rPr lang="nb-NO" sz="2600" b="0" i="0" u="none" strike="noStrike" baseline="0">
              <a:solidFill>
                <a:srgbClr val="000000"/>
              </a:solidFill>
              <a:latin typeface="Arial"/>
              <a:cs typeface="Arial"/>
            </a:rPr>
            <a:t>Step 5</a:t>
          </a:r>
        </a:p>
        <a:p>
          <a:pPr algn="l" rtl="0">
            <a:defRPr sz="1000"/>
          </a:pPr>
          <a:r>
            <a:rPr lang="nb-NO" sz="2600" b="0" i="0" u="none" strike="noStrike" baseline="0">
              <a:solidFill>
                <a:srgbClr val="000000"/>
              </a:solidFill>
              <a:latin typeface="Arial"/>
              <a:cs typeface="Arial"/>
            </a:rPr>
            <a:t>Enter the elevations of the decks</a:t>
          </a:r>
        </a:p>
        <a:p>
          <a:pPr algn="l" rtl="0">
            <a:defRPr sz="1000"/>
          </a:pPr>
          <a:r>
            <a:rPr lang="nb-NO" sz="2600" b="0" i="0" u="none" strike="noStrike" baseline="0">
              <a:solidFill>
                <a:srgbClr val="000000"/>
              </a:solidFill>
              <a:latin typeface="Arial"/>
              <a:cs typeface="Arial"/>
            </a:rPr>
            <a:t>The elevations may be given directly or </a:t>
          </a:r>
        </a:p>
        <a:p>
          <a:pPr algn="l" rtl="0">
            <a:defRPr sz="1000"/>
          </a:pPr>
          <a:r>
            <a:rPr lang="nb-NO" sz="2600" b="0" i="0" u="none" strike="noStrike" baseline="0">
              <a:solidFill>
                <a:srgbClr val="000000"/>
              </a:solidFill>
              <a:latin typeface="Arial"/>
              <a:cs typeface="Arial"/>
            </a:rPr>
            <a:t>by the spacing between the decks </a:t>
          </a:r>
          <a:endParaRPr lang="nb-NO"/>
        </a:p>
      </xdr:txBody>
    </xdr:sp>
    <xdr:clientData/>
  </xdr:twoCellAnchor>
  <xdr:twoCellAnchor>
    <xdr:from>
      <xdr:col>9</xdr:col>
      <xdr:colOff>190500</xdr:colOff>
      <xdr:row>16</xdr:row>
      <xdr:rowOff>133350</xdr:rowOff>
    </xdr:from>
    <xdr:to>
      <xdr:col>77</xdr:col>
      <xdr:colOff>266700</xdr:colOff>
      <xdr:row>31</xdr:row>
      <xdr:rowOff>219075</xdr:rowOff>
    </xdr:to>
    <xdr:sp macro="" textlink="">
      <xdr:nvSpPr>
        <xdr:cNvPr id="10264" name="step6" hidden="1"/>
        <xdr:cNvSpPr>
          <a:spLocks noChangeArrowheads="1"/>
        </xdr:cNvSpPr>
      </xdr:nvSpPr>
      <xdr:spPr bwMode="auto">
        <a:xfrm>
          <a:off x="3790950" y="3467100"/>
          <a:ext cx="11791950" cy="3009900"/>
        </a:xfrm>
        <a:prstGeom prst="wedgeRectCallout">
          <a:avLst>
            <a:gd name="adj1" fmla="val -60662"/>
            <a:gd name="adj2" fmla="val 5213"/>
          </a:avLst>
        </a:prstGeom>
        <a:solidFill>
          <a:srgbClr xmlns:mc="http://schemas.openxmlformats.org/markup-compatibility/2006" xmlns:a14="http://schemas.microsoft.com/office/drawing/2010/main" val="FFFFE1" mc:Ignorable="a14" a14:legacySpreadsheetColorIndex="80"/>
        </a:solidFill>
        <a:ln w="9525" algn="ctr">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txBody>
        <a:bodyPr vertOverflow="clip" wrap="square" lIns="360000" tIns="46800" rIns="360000" bIns="46800" anchor="ctr" upright="1"/>
        <a:lstStyle/>
        <a:p>
          <a:pPr algn="l" rtl="0">
            <a:lnSpc>
              <a:spcPts val="2300"/>
            </a:lnSpc>
            <a:defRPr sz="1000"/>
          </a:pPr>
          <a:r>
            <a:rPr lang="nb-NO" sz="2600" b="0" i="0" u="none" strike="noStrike" baseline="0">
              <a:solidFill>
                <a:srgbClr val="000000"/>
              </a:solidFill>
              <a:latin typeface="Arial"/>
              <a:cs typeface="Arial"/>
            </a:rPr>
            <a:t>Step 6</a:t>
          </a:r>
        </a:p>
        <a:p>
          <a:pPr algn="l" rtl="0">
            <a:lnSpc>
              <a:spcPts val="2300"/>
            </a:lnSpc>
            <a:defRPr sz="1000"/>
          </a:pPr>
          <a:r>
            <a:rPr lang="nb-NO" sz="2600" b="0" i="0" u="none" strike="noStrike" baseline="0">
              <a:solidFill>
                <a:srgbClr val="000000"/>
              </a:solidFill>
              <a:latin typeface="Arial"/>
              <a:cs typeface="Arial"/>
            </a:rPr>
            <a:t>The deck layout is defined by two side views, the XZ_Plane and the YZ_Plane</a:t>
          </a:r>
        </a:p>
        <a:p>
          <a:pPr algn="l" rtl="0">
            <a:lnSpc>
              <a:spcPts val="2300"/>
            </a:lnSpc>
            <a:defRPr sz="1000"/>
          </a:pPr>
          <a:r>
            <a:rPr lang="nb-NO" sz="2600" b="0" i="0" u="none" strike="noStrike" baseline="0">
              <a:solidFill>
                <a:srgbClr val="000000"/>
              </a:solidFill>
              <a:latin typeface="Arial"/>
              <a:cs typeface="Arial"/>
            </a:rPr>
            <a:t>Fill in the positions of the beam and column rows in each plane</a:t>
          </a:r>
        </a:p>
        <a:p>
          <a:pPr algn="l" rtl="0">
            <a:lnSpc>
              <a:spcPts val="2300"/>
            </a:lnSpc>
            <a:defRPr sz="1000"/>
          </a:pPr>
          <a:r>
            <a:rPr lang="nb-NO" sz="2600" b="0" i="0" u="none" strike="noStrike" baseline="0">
              <a:solidFill>
                <a:srgbClr val="000000"/>
              </a:solidFill>
              <a:latin typeface="Arial"/>
              <a:cs typeface="Arial"/>
            </a:rPr>
            <a:t>The positions may be given as coordinates or as spacing between the columns</a:t>
          </a:r>
        </a:p>
        <a:p>
          <a:pPr algn="l" rtl="0">
            <a:lnSpc>
              <a:spcPts val="2400"/>
            </a:lnSpc>
            <a:defRPr sz="1000"/>
          </a:pPr>
          <a:r>
            <a:rPr lang="nb-NO" sz="2600" b="0" i="0" u="none" strike="noStrike" baseline="0">
              <a:solidFill>
                <a:srgbClr val="000000"/>
              </a:solidFill>
              <a:latin typeface="Arial"/>
              <a:cs typeface="Arial"/>
            </a:rPr>
            <a:t>Intermediate positions for guide points may also be defined</a:t>
          </a:r>
          <a:endParaRPr lang="nb-NO"/>
        </a:p>
      </xdr:txBody>
    </xdr:sp>
    <xdr:clientData/>
  </xdr:twoCellAnchor>
  <xdr:twoCellAnchor>
    <xdr:from>
      <xdr:col>11</xdr:col>
      <xdr:colOff>209550</xdr:colOff>
      <xdr:row>13</xdr:row>
      <xdr:rowOff>38100</xdr:rowOff>
    </xdr:from>
    <xdr:to>
      <xdr:col>74</xdr:col>
      <xdr:colOff>190500</xdr:colOff>
      <xdr:row>29</xdr:row>
      <xdr:rowOff>19050</xdr:rowOff>
    </xdr:to>
    <xdr:sp macro="" textlink="">
      <xdr:nvSpPr>
        <xdr:cNvPr id="10265" name="step7" hidden="1"/>
        <xdr:cNvSpPr>
          <a:spLocks noChangeArrowheads="1"/>
        </xdr:cNvSpPr>
      </xdr:nvSpPr>
      <xdr:spPr bwMode="auto">
        <a:xfrm>
          <a:off x="4457700" y="2628900"/>
          <a:ext cx="9220200" cy="3257550"/>
        </a:xfrm>
        <a:prstGeom prst="wedgeRectCallout">
          <a:avLst>
            <a:gd name="adj1" fmla="val -71903"/>
            <a:gd name="adj2" fmla="val 15204"/>
          </a:avLst>
        </a:prstGeom>
        <a:solidFill>
          <a:srgbClr xmlns:mc="http://schemas.openxmlformats.org/markup-compatibility/2006" xmlns:a14="http://schemas.microsoft.com/office/drawing/2010/main" val="FFFFE1" mc:Ignorable="a14" a14:legacySpreadsheetColorIndex="80"/>
        </a:solidFill>
        <a:ln w="9525" algn="ctr">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txBody>
        <a:bodyPr vertOverflow="clip" wrap="square" lIns="360000" tIns="46800" rIns="90000" bIns="46800" anchor="ctr" upright="1"/>
        <a:lstStyle/>
        <a:p>
          <a:pPr algn="l" rtl="0">
            <a:defRPr sz="1000"/>
          </a:pPr>
          <a:r>
            <a:rPr lang="nb-NO" sz="2600" b="0" i="0" u="none" strike="noStrike" baseline="0">
              <a:solidFill>
                <a:srgbClr val="000000"/>
              </a:solidFill>
              <a:latin typeface="Arial"/>
              <a:cs typeface="Arial"/>
            </a:rPr>
            <a:t>Step 7</a:t>
          </a:r>
        </a:p>
        <a:p>
          <a:pPr algn="l" rtl="0">
            <a:defRPr sz="1000"/>
          </a:pPr>
          <a:r>
            <a:rPr lang="nb-NO" sz="2600" b="0" i="0" u="none" strike="noStrike" baseline="0">
              <a:solidFill>
                <a:srgbClr val="000000"/>
              </a:solidFill>
              <a:latin typeface="Arial"/>
              <a:cs typeface="Arial"/>
            </a:rPr>
            <a:t>Select cross section for the deck beams running normal to the current view at each row</a:t>
          </a:r>
        </a:p>
        <a:p>
          <a:pPr algn="l" rtl="0">
            <a:defRPr sz="1000"/>
          </a:pPr>
          <a:r>
            <a:rPr lang="nb-NO" sz="2600" b="0" i="0" u="none" strike="noStrike" baseline="0">
              <a:solidFill>
                <a:srgbClr val="000000"/>
              </a:solidFill>
              <a:latin typeface="Arial"/>
              <a:cs typeface="Arial"/>
            </a:rPr>
            <a:t>The same section is used for all elevations</a:t>
          </a:r>
        </a:p>
        <a:p>
          <a:pPr algn="l" rtl="0">
            <a:defRPr sz="1000"/>
          </a:pPr>
          <a:r>
            <a:rPr lang="nb-NO" sz="2600" b="0" i="0" u="none" strike="noStrike" baseline="0">
              <a:solidFill>
                <a:srgbClr val="000000"/>
              </a:solidFill>
              <a:latin typeface="Arial"/>
              <a:cs typeface="Arial"/>
            </a:rPr>
            <a:t>To have guide points only you select No_Beam</a:t>
          </a:r>
          <a:endParaRPr lang="nb-NO"/>
        </a:p>
      </xdr:txBody>
    </xdr:sp>
    <xdr:clientData/>
  </xdr:twoCellAnchor>
  <xdr:twoCellAnchor>
    <xdr:from>
      <xdr:col>9</xdr:col>
      <xdr:colOff>285750</xdr:colOff>
      <xdr:row>14</xdr:row>
      <xdr:rowOff>114300</xdr:rowOff>
    </xdr:from>
    <xdr:to>
      <xdr:col>71</xdr:col>
      <xdr:colOff>190500</xdr:colOff>
      <xdr:row>21</xdr:row>
      <xdr:rowOff>114300</xdr:rowOff>
    </xdr:to>
    <xdr:sp macro="" textlink="">
      <xdr:nvSpPr>
        <xdr:cNvPr id="10266" name="step8" hidden="1"/>
        <xdr:cNvSpPr>
          <a:spLocks noChangeArrowheads="1"/>
        </xdr:cNvSpPr>
      </xdr:nvSpPr>
      <xdr:spPr bwMode="auto">
        <a:xfrm>
          <a:off x="3886200" y="2952750"/>
          <a:ext cx="7962900" cy="1733550"/>
        </a:xfrm>
        <a:prstGeom prst="wedgeRectCallout">
          <a:avLst>
            <a:gd name="adj1" fmla="val -67463"/>
            <a:gd name="adj2" fmla="val 66481"/>
          </a:avLst>
        </a:prstGeom>
        <a:solidFill>
          <a:srgbClr xmlns:mc="http://schemas.openxmlformats.org/markup-compatibility/2006" xmlns:a14="http://schemas.microsoft.com/office/drawing/2010/main" val="FFFFE1" mc:Ignorable="a14" a14:legacySpreadsheetColorIndex="80"/>
        </a:solidFill>
        <a:ln w="9525" algn="ctr">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txBody>
        <a:bodyPr vertOverflow="clip" wrap="square" lIns="360000" tIns="46800" rIns="90000" bIns="46800" anchor="ctr" upright="1"/>
        <a:lstStyle/>
        <a:p>
          <a:pPr algn="l" rtl="0">
            <a:defRPr sz="1000"/>
          </a:pPr>
          <a:r>
            <a:rPr lang="nb-NO" sz="2600" b="0" i="0" u="none" strike="noStrike" baseline="0">
              <a:solidFill>
                <a:srgbClr val="000000"/>
              </a:solidFill>
              <a:latin typeface="Arial"/>
              <a:cs typeface="Arial"/>
            </a:rPr>
            <a:t>Step 8</a:t>
          </a:r>
        </a:p>
        <a:p>
          <a:pPr algn="l" rtl="0">
            <a:defRPr sz="1000"/>
          </a:pPr>
          <a:r>
            <a:rPr lang="nb-NO" sz="2600" b="0" i="0" u="none" strike="noStrike" baseline="0">
              <a:solidFill>
                <a:srgbClr val="000000"/>
              </a:solidFill>
              <a:latin typeface="Arial"/>
              <a:cs typeface="Arial"/>
            </a:rPr>
            <a:t>Select whether the rows shall have columns or not</a:t>
          </a:r>
          <a:endParaRPr lang="nb-NO"/>
        </a:p>
      </xdr:txBody>
    </xdr:sp>
    <xdr:clientData/>
  </xdr:twoCellAnchor>
  <xdr:twoCellAnchor>
    <xdr:from>
      <xdr:col>11</xdr:col>
      <xdr:colOff>209550</xdr:colOff>
      <xdr:row>17</xdr:row>
      <xdr:rowOff>133350</xdr:rowOff>
    </xdr:from>
    <xdr:to>
      <xdr:col>70</xdr:col>
      <xdr:colOff>266700</xdr:colOff>
      <xdr:row>25</xdr:row>
      <xdr:rowOff>85725</xdr:rowOff>
    </xdr:to>
    <xdr:sp macro="" textlink="">
      <xdr:nvSpPr>
        <xdr:cNvPr id="10267" name="step9" hidden="1"/>
        <xdr:cNvSpPr>
          <a:spLocks noChangeArrowheads="1"/>
        </xdr:cNvSpPr>
      </xdr:nvSpPr>
      <xdr:spPr bwMode="auto">
        <a:xfrm>
          <a:off x="4457700" y="3714750"/>
          <a:ext cx="6858000" cy="1590675"/>
        </a:xfrm>
        <a:prstGeom prst="wedgeRectCallout">
          <a:avLst>
            <a:gd name="adj1" fmla="val -73056"/>
            <a:gd name="adj2" fmla="val 56977"/>
          </a:avLst>
        </a:prstGeom>
        <a:solidFill>
          <a:srgbClr xmlns:mc="http://schemas.openxmlformats.org/markup-compatibility/2006" xmlns:a14="http://schemas.microsoft.com/office/drawing/2010/main" val="FFFFE1" mc:Ignorable="a14" a14:legacySpreadsheetColorIndex="80"/>
        </a:solidFill>
        <a:ln w="9525" algn="ctr">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txBody>
        <a:bodyPr vertOverflow="clip" wrap="square" lIns="360000" tIns="46800" rIns="90000" bIns="46800" anchor="ctr" upright="1"/>
        <a:lstStyle/>
        <a:p>
          <a:pPr algn="l" rtl="0">
            <a:defRPr sz="1000"/>
          </a:pPr>
          <a:r>
            <a:rPr lang="nb-NO" sz="2600" b="0" i="0" u="none" strike="noStrike" baseline="0">
              <a:solidFill>
                <a:srgbClr val="000000"/>
              </a:solidFill>
              <a:latin typeface="Arial"/>
              <a:cs typeface="Arial"/>
            </a:rPr>
            <a:t>Step 9</a:t>
          </a:r>
        </a:p>
        <a:p>
          <a:pPr algn="l" rtl="0">
            <a:defRPr sz="1000"/>
          </a:pPr>
          <a:r>
            <a:rPr lang="nb-NO" sz="2600" b="0" i="0" u="none" strike="noStrike" baseline="0">
              <a:solidFill>
                <a:srgbClr val="000000"/>
              </a:solidFill>
              <a:latin typeface="Arial"/>
              <a:cs typeface="Arial"/>
            </a:rPr>
            <a:t>Define the bracings between the rows</a:t>
          </a:r>
          <a:endParaRPr lang="nb-NO"/>
        </a:p>
      </xdr:txBody>
    </xdr:sp>
    <xdr:clientData/>
  </xdr:twoCellAnchor>
  <xdr:twoCellAnchor editAs="oneCell">
    <xdr:from>
      <xdr:col>6</xdr:col>
      <xdr:colOff>95250</xdr:colOff>
      <xdr:row>17</xdr:row>
      <xdr:rowOff>19050</xdr:rowOff>
    </xdr:from>
    <xdr:to>
      <xdr:col>29</xdr:col>
      <xdr:colOff>133350</xdr:colOff>
      <xdr:row>25</xdr:row>
      <xdr:rowOff>9525</xdr:rowOff>
    </xdr:to>
    <xdr:sp macro="" textlink="">
      <xdr:nvSpPr>
        <xdr:cNvPr id="10268" name="step10" hidden="1"/>
        <xdr:cNvSpPr>
          <a:spLocks noChangeArrowheads="1"/>
        </xdr:cNvSpPr>
      </xdr:nvSpPr>
      <xdr:spPr bwMode="auto">
        <a:xfrm>
          <a:off x="2724150" y="3600450"/>
          <a:ext cx="7486650" cy="1628775"/>
        </a:xfrm>
        <a:prstGeom prst="wedgeRectCallout">
          <a:avLst>
            <a:gd name="adj1" fmla="val 3690"/>
            <a:gd name="adj2" fmla="val 112500"/>
          </a:avLst>
        </a:prstGeom>
        <a:solidFill>
          <a:srgbClr xmlns:mc="http://schemas.openxmlformats.org/markup-compatibility/2006" xmlns:a14="http://schemas.microsoft.com/office/drawing/2010/main" val="FFFFE1" mc:Ignorable="a14" a14:legacySpreadsheetColorIndex="80"/>
        </a:solidFill>
        <a:ln w="9525" algn="ctr">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txBody>
        <a:bodyPr vertOverflow="clip" wrap="square" lIns="360000" tIns="46800" rIns="90000" bIns="46800" anchor="ctr" upright="1"/>
        <a:lstStyle/>
        <a:p>
          <a:pPr algn="just" rtl="0">
            <a:defRPr sz="1000"/>
          </a:pPr>
          <a:r>
            <a:rPr lang="nb-NO" sz="2600" b="0" i="0" u="none" strike="noStrike" baseline="0">
              <a:solidFill>
                <a:srgbClr val="000000"/>
              </a:solidFill>
              <a:latin typeface="Arial"/>
              <a:cs typeface="Arial"/>
            </a:rPr>
            <a:t>Step 10</a:t>
          </a:r>
        </a:p>
        <a:p>
          <a:pPr algn="just" rtl="0">
            <a:defRPr sz="1000"/>
          </a:pPr>
          <a:r>
            <a:rPr lang="nb-NO" sz="2600" b="0" i="0" u="none" strike="noStrike" baseline="0">
              <a:solidFill>
                <a:srgbClr val="000000"/>
              </a:solidFill>
              <a:latin typeface="Arial"/>
              <a:cs typeface="Arial"/>
            </a:rPr>
            <a:t>Define the YZ plan as described for the XZ plane</a:t>
          </a:r>
          <a:endParaRPr lang="nb-NO"/>
        </a:p>
      </xdr:txBody>
    </xdr:sp>
    <xdr:clientData/>
  </xdr:twoCellAnchor>
  <xdr:twoCellAnchor>
    <xdr:from>
      <xdr:col>10</xdr:col>
      <xdr:colOff>152400</xdr:colOff>
      <xdr:row>18</xdr:row>
      <xdr:rowOff>38100</xdr:rowOff>
    </xdr:from>
    <xdr:to>
      <xdr:col>73</xdr:col>
      <xdr:colOff>133350</xdr:colOff>
      <xdr:row>35</xdr:row>
      <xdr:rowOff>104775</xdr:rowOff>
    </xdr:to>
    <xdr:sp macro="" textlink="">
      <xdr:nvSpPr>
        <xdr:cNvPr id="10269" name="step11" hidden="1"/>
        <xdr:cNvSpPr>
          <a:spLocks noChangeArrowheads="1"/>
        </xdr:cNvSpPr>
      </xdr:nvSpPr>
      <xdr:spPr bwMode="auto">
        <a:xfrm>
          <a:off x="4076700" y="3867150"/>
          <a:ext cx="8934450" cy="3486150"/>
        </a:xfrm>
        <a:prstGeom prst="wedgeRectCallout">
          <a:avLst>
            <a:gd name="adj1" fmla="val -42111"/>
            <a:gd name="adj2" fmla="val -144148"/>
          </a:avLst>
        </a:prstGeom>
        <a:solidFill>
          <a:srgbClr xmlns:mc="http://schemas.openxmlformats.org/markup-compatibility/2006" xmlns:a14="http://schemas.microsoft.com/office/drawing/2010/main" val="FFFFE1" mc:Ignorable="a14" a14:legacySpreadsheetColorIndex="80"/>
        </a:solidFill>
        <a:ln w="9525" algn="ctr">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txBody>
        <a:bodyPr vertOverflow="clip" wrap="square" lIns="360000" tIns="46800" rIns="90000" bIns="46800" anchor="ctr" upright="1"/>
        <a:lstStyle/>
        <a:p>
          <a:pPr algn="l" rtl="0">
            <a:lnSpc>
              <a:spcPts val="2800"/>
            </a:lnSpc>
            <a:defRPr sz="1000"/>
          </a:pPr>
          <a:r>
            <a:rPr lang="nb-NO" sz="2600" b="0" i="0" u="none" strike="noStrike" baseline="0">
              <a:solidFill>
                <a:srgbClr val="000000"/>
              </a:solidFill>
              <a:latin typeface="Arial"/>
              <a:cs typeface="Arial"/>
            </a:rPr>
            <a:t>Step 11</a:t>
          </a:r>
        </a:p>
        <a:p>
          <a:pPr algn="l" rtl="0">
            <a:lnSpc>
              <a:spcPts val="2800"/>
            </a:lnSpc>
            <a:defRPr sz="1000"/>
          </a:pPr>
          <a:r>
            <a:rPr lang="nb-NO" sz="2600" b="0" i="0" u="none" strike="noStrike" baseline="0">
              <a:solidFill>
                <a:srgbClr val="000000"/>
              </a:solidFill>
              <a:latin typeface="Arial"/>
              <a:cs typeface="Arial"/>
            </a:rPr>
            <a:t>Press the "Update Preview" button to see the layout</a:t>
          </a:r>
        </a:p>
        <a:p>
          <a:pPr algn="l" rtl="0">
            <a:lnSpc>
              <a:spcPts val="2800"/>
            </a:lnSpc>
            <a:defRPr sz="1000"/>
          </a:pPr>
          <a:r>
            <a:rPr lang="nb-NO" sz="2600" b="0" i="0" u="none" strike="noStrike" baseline="0">
              <a:solidFill>
                <a:srgbClr val="000000"/>
              </a:solidFill>
              <a:latin typeface="Arial"/>
              <a:cs typeface="Arial"/>
            </a:rPr>
            <a:t>A thin line on the side view indicates no column</a:t>
          </a:r>
        </a:p>
        <a:p>
          <a:pPr algn="l" rtl="0">
            <a:lnSpc>
              <a:spcPts val="2800"/>
            </a:lnSpc>
            <a:defRPr sz="1000"/>
          </a:pPr>
          <a:r>
            <a:rPr lang="nb-NO" sz="2600" b="0" i="0" u="none" strike="noStrike" baseline="0">
              <a:solidFill>
                <a:srgbClr val="000000"/>
              </a:solidFill>
              <a:latin typeface="Arial"/>
              <a:cs typeface="Arial"/>
            </a:rPr>
            <a:t>The "No Beam" label and a red dot indicates no beams in </a:t>
          </a:r>
        </a:p>
        <a:p>
          <a:pPr algn="l" rtl="0">
            <a:lnSpc>
              <a:spcPts val="2800"/>
            </a:lnSpc>
            <a:defRPr sz="1000"/>
          </a:pPr>
          <a:r>
            <a:rPr lang="nb-NO" sz="2600" b="0" i="0" u="none" strike="noStrike" baseline="0">
              <a:solidFill>
                <a:srgbClr val="000000"/>
              </a:solidFill>
              <a:latin typeface="Arial"/>
              <a:cs typeface="Arial"/>
            </a:rPr>
            <a:t>the direction normal to the view at that row</a:t>
          </a:r>
        </a:p>
        <a:p>
          <a:pPr algn="l" rtl="0">
            <a:lnSpc>
              <a:spcPts val="2700"/>
            </a:lnSpc>
            <a:defRPr sz="1000"/>
          </a:pPr>
          <a:endParaRPr lang="nb-NO" sz="2600" b="0" i="0" u="none" strike="noStrike" baseline="0">
            <a:solidFill>
              <a:srgbClr val="000000"/>
            </a:solidFill>
            <a:latin typeface="Arial"/>
            <a:cs typeface="Arial"/>
          </a:endParaRPr>
        </a:p>
        <a:p>
          <a:pPr algn="l" rtl="0">
            <a:defRPr sz="1000"/>
          </a:pPr>
          <a:r>
            <a:rPr lang="nb-NO" sz="2600" b="0" i="0" u="none" strike="noStrike" baseline="0">
              <a:solidFill>
                <a:srgbClr val="000000"/>
              </a:solidFill>
              <a:latin typeface="Arial"/>
              <a:cs typeface="Arial"/>
            </a:rPr>
            <a:t>Thin lines on the XY Plot indicates no beams at those rows</a:t>
          </a:r>
          <a:endParaRPr lang="nb-NO"/>
        </a:p>
      </xdr:txBody>
    </xdr:sp>
    <xdr:clientData/>
  </xdr:twoCellAnchor>
  <xdr:twoCellAnchor>
    <xdr:from>
      <xdr:col>5</xdr:col>
      <xdr:colOff>76200</xdr:colOff>
      <xdr:row>9</xdr:row>
      <xdr:rowOff>19050</xdr:rowOff>
    </xdr:from>
    <xdr:to>
      <xdr:col>28</xdr:col>
      <xdr:colOff>133350</xdr:colOff>
      <xdr:row>20</xdr:row>
      <xdr:rowOff>57150</xdr:rowOff>
    </xdr:to>
    <xdr:sp macro="" textlink="">
      <xdr:nvSpPr>
        <xdr:cNvPr id="10270" name="step12" hidden="1"/>
        <xdr:cNvSpPr>
          <a:spLocks noChangeArrowheads="1"/>
        </xdr:cNvSpPr>
      </xdr:nvSpPr>
      <xdr:spPr bwMode="auto">
        <a:xfrm>
          <a:off x="2381250" y="1619250"/>
          <a:ext cx="7505700" cy="2762250"/>
        </a:xfrm>
        <a:prstGeom prst="wedgeRectCallout">
          <a:avLst>
            <a:gd name="adj1" fmla="val 9139"/>
            <a:gd name="adj2" fmla="val -92759"/>
          </a:avLst>
        </a:prstGeom>
        <a:solidFill>
          <a:srgbClr xmlns:mc="http://schemas.openxmlformats.org/markup-compatibility/2006" xmlns:a14="http://schemas.microsoft.com/office/drawing/2010/main" val="FFFFE1" mc:Ignorable="a14" a14:legacySpreadsheetColorIndex="80"/>
        </a:solidFill>
        <a:ln w="9525" algn="ctr">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txBody>
        <a:bodyPr vertOverflow="clip" wrap="square" lIns="360000" tIns="46800" rIns="90000" bIns="46800" anchor="ctr" upright="1"/>
        <a:lstStyle/>
        <a:p>
          <a:pPr algn="l" rtl="0">
            <a:defRPr sz="1000"/>
          </a:pPr>
          <a:r>
            <a:rPr lang="nb-NO" sz="2600" b="0" i="0" u="none" strike="noStrike" baseline="0">
              <a:solidFill>
                <a:srgbClr val="000000"/>
              </a:solidFill>
              <a:latin typeface="Arial"/>
              <a:cs typeface="Arial"/>
            </a:rPr>
            <a:t>Step 12</a:t>
          </a:r>
        </a:p>
        <a:p>
          <a:pPr algn="l" rtl="0">
            <a:defRPr sz="1000"/>
          </a:pPr>
          <a:r>
            <a:rPr lang="nb-NO" sz="2600" b="0" i="0" u="none" strike="noStrike" baseline="0">
              <a:solidFill>
                <a:srgbClr val="000000"/>
              </a:solidFill>
              <a:latin typeface="Arial"/>
              <a:cs typeface="Arial"/>
            </a:rPr>
            <a:t>The "Run Genie" button will write a Genie input file named "Title"_in.js to the current directory for this workbook and then run Genie in that directory.</a:t>
          </a:r>
          <a:endParaRPr lang="nb-NO"/>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500000" mc:Ignorable="a14" a14:legacySpreadsheetColorIndex="80"/>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500000" mc:Ignorable="a14" a14:legacySpreadsheetColorIndex="80"/>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7.emf"/><Relationship Id="rId4" Type="http://schemas.openxmlformats.org/officeDocument/2006/relationships/control" Target="../activeX/activeX7.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BP153"/>
  <sheetViews>
    <sheetView showRowColHeaders="0" tabSelected="1" zoomScaleNormal="75" workbookViewId="0">
      <pane ySplit="4" topLeftCell="A5" activePane="bottomLeft" state="frozen"/>
      <selection pane="bottomLeft" activeCell="N26" sqref="N26:O26"/>
    </sheetView>
  </sheetViews>
  <sheetFormatPr defaultRowHeight="12.75" x14ac:dyDescent="0.2"/>
  <cols>
    <col min="1" max="1" width="3.140625" style="3" customWidth="1"/>
    <col min="2" max="2" width="8.140625" style="3" customWidth="1"/>
    <col min="3" max="3" width="8.7109375" style="3" customWidth="1"/>
    <col min="4" max="4" width="9.7109375" style="3" customWidth="1"/>
    <col min="5" max="7" width="4.85546875" style="4" customWidth="1"/>
    <col min="8" max="32" width="4.85546875" style="3" customWidth="1"/>
    <col min="33" max="34" width="0" style="3" hidden="1" customWidth="1"/>
    <col min="35" max="35" width="11.5703125" style="3" hidden="1" customWidth="1"/>
    <col min="36" max="36" width="9.28515625" style="3" hidden="1" customWidth="1"/>
    <col min="37" max="68" width="4.85546875" style="3" hidden="1" customWidth="1"/>
    <col min="69" max="69" width="4.85546875" style="3" customWidth="1"/>
    <col min="70" max="16384" width="9.140625" style="3"/>
  </cols>
  <sheetData>
    <row r="1" spans="2:56" ht="6" customHeight="1" x14ac:dyDescent="0.2"/>
    <row r="2" spans="2:56" ht="18" x14ac:dyDescent="0.25">
      <c r="B2" s="60" t="s">
        <v>387</v>
      </c>
      <c r="C2" s="61"/>
      <c r="D2" s="73"/>
      <c r="E2" s="74"/>
      <c r="F2" s="75" t="s">
        <v>347</v>
      </c>
      <c r="G2" s="74"/>
      <c r="H2" s="85" t="s">
        <v>578</v>
      </c>
      <c r="I2" s="84"/>
      <c r="L2" s="63"/>
    </row>
    <row r="3" spans="2:56" ht="18" x14ac:dyDescent="0.25">
      <c r="B3" s="18" t="s">
        <v>68</v>
      </c>
      <c r="C3" s="99" t="s">
        <v>610</v>
      </c>
      <c r="D3" s="100"/>
      <c r="E3" s="101"/>
      <c r="F3" s="75" t="s">
        <v>542</v>
      </c>
      <c r="G3" s="74"/>
      <c r="H3" s="88" t="s">
        <v>579</v>
      </c>
      <c r="I3" s="84"/>
    </row>
    <row r="4" spans="2:56" ht="6" customHeight="1" x14ac:dyDescent="0.2">
      <c r="J4" s="5"/>
    </row>
    <row r="5" spans="2:56" ht="6" customHeight="1" x14ac:dyDescent="0.2"/>
    <row r="6" spans="2:56" ht="18" x14ac:dyDescent="0.2">
      <c r="B6" s="77" t="s">
        <v>15</v>
      </c>
      <c r="C6" s="79"/>
      <c r="AJ6" s="3" t="s">
        <v>127</v>
      </c>
      <c r="AK6" s="93"/>
      <c r="AL6" s="93"/>
      <c r="AM6" s="93"/>
      <c r="AN6" s="93"/>
      <c r="AO6" s="93"/>
      <c r="AP6" s="93"/>
      <c r="AQ6" s="93"/>
      <c r="AR6" s="93"/>
      <c r="AS6" s="93"/>
      <c r="AT6" s="93"/>
      <c r="AU6" s="93"/>
      <c r="AV6" s="93"/>
      <c r="AW6" s="93"/>
      <c r="AX6" s="93"/>
      <c r="AY6" s="93"/>
      <c r="AZ6" s="93"/>
      <c r="BA6" s="93"/>
      <c r="BB6" s="93"/>
      <c r="BC6" s="93"/>
      <c r="BD6" s="93"/>
    </row>
    <row r="7" spans="2:56" ht="15" customHeight="1" x14ac:dyDescent="0.2">
      <c r="B7" s="80" t="s">
        <v>32</v>
      </c>
      <c r="C7" s="23" t="s">
        <v>111</v>
      </c>
      <c r="D7" s="1" t="s">
        <v>118</v>
      </c>
      <c r="E7" s="134" t="str">
        <f>General!E72</f>
        <v>1</v>
      </c>
      <c r="F7" s="113"/>
      <c r="G7" s="134" t="str">
        <f>General!E73</f>
        <v>2</v>
      </c>
      <c r="H7" s="134"/>
      <c r="I7" s="134" t="str">
        <f>General!E74</f>
        <v>3</v>
      </c>
      <c r="J7" s="134"/>
      <c r="K7" s="134" t="str">
        <f>General!E75</f>
        <v>4</v>
      </c>
      <c r="L7" s="134"/>
      <c r="M7" s="134" t="str">
        <f>General!E76</f>
        <v>5</v>
      </c>
      <c r="N7" s="134"/>
      <c r="O7" s="134" t="str">
        <f>General!E77</f>
        <v>6</v>
      </c>
      <c r="P7" s="134"/>
      <c r="Q7" s="136" t="str">
        <f>General!E78</f>
        <v>7</v>
      </c>
      <c r="R7" s="134"/>
      <c r="S7" s="134" t="str">
        <f>General!E79</f>
        <v>8</v>
      </c>
      <c r="T7" s="134"/>
      <c r="U7" s="136" t="str">
        <f>General!E80</f>
        <v>9</v>
      </c>
      <c r="V7" s="134"/>
      <c r="W7" s="134">
        <f>General!E81</f>
        <v>10</v>
      </c>
      <c r="X7" s="134"/>
      <c r="Y7" s="134" t="str">
        <f>General!E82</f>
        <v>11</v>
      </c>
      <c r="Z7" s="134"/>
      <c r="AA7" s="134" t="str">
        <f>General!E83</f>
        <v>12</v>
      </c>
      <c r="AB7" s="134"/>
      <c r="AC7" s="134" t="str">
        <f>General!E84</f>
        <v>13</v>
      </c>
      <c r="AD7" s="134"/>
      <c r="AE7" s="134" t="str">
        <f>General!E85</f>
        <v>14</v>
      </c>
      <c r="AF7" s="134"/>
      <c r="AH7" s="29"/>
      <c r="AI7" s="1" t="s">
        <v>5</v>
      </c>
      <c r="AJ7" s="1" t="s">
        <v>31</v>
      </c>
    </row>
    <row r="8" spans="2:56" ht="20.100000000000001" customHeight="1" x14ac:dyDescent="0.2">
      <c r="B8" s="70" t="str">
        <f>AH8</f>
        <v>Z6</v>
      </c>
      <c r="C8" s="140"/>
      <c r="D8" s="78"/>
      <c r="E8" s="11"/>
      <c r="F8" s="26"/>
      <c r="G8" s="26"/>
      <c r="H8" s="26"/>
      <c r="I8" s="26"/>
      <c r="J8" s="27"/>
      <c r="K8" s="26"/>
      <c r="L8" s="26"/>
      <c r="M8" s="26"/>
      <c r="N8" s="26"/>
      <c r="O8" s="26"/>
      <c r="P8" s="26"/>
      <c r="Q8" s="26"/>
      <c r="R8" s="26"/>
      <c r="S8" s="26"/>
      <c r="T8" s="26"/>
      <c r="U8" s="26"/>
      <c r="V8" s="26"/>
      <c r="W8" s="11"/>
      <c r="X8" s="11"/>
      <c r="AH8" s="115" t="s">
        <v>27</v>
      </c>
      <c r="AI8" s="106" t="str">
        <f>IF(C8="",IF(D9="","",D9+AI10),C8)</f>
        <v/>
      </c>
      <c r="AJ8" s="69"/>
    </row>
    <row r="9" spans="2:56" ht="20.100000000000001" customHeight="1" x14ac:dyDescent="0.2">
      <c r="B9" s="81" t="str">
        <f>IF(AI8="","",FIXED(AI8,2))</f>
        <v/>
      </c>
      <c r="C9" s="138"/>
      <c r="D9" s="131"/>
      <c r="E9" s="11"/>
      <c r="F9" s="26"/>
      <c r="G9" s="26"/>
      <c r="H9" s="26"/>
      <c r="I9" s="26"/>
      <c r="J9" s="27"/>
      <c r="K9" s="26"/>
      <c r="L9" s="26"/>
      <c r="M9" s="26"/>
      <c r="N9" s="26"/>
      <c r="O9" s="26"/>
      <c r="P9" s="26"/>
      <c r="Q9" s="26"/>
      <c r="R9" s="26"/>
      <c r="S9" s="26"/>
      <c r="T9" s="26"/>
      <c r="U9" s="26"/>
      <c r="V9" s="26"/>
      <c r="W9" s="11"/>
      <c r="X9" s="11"/>
      <c r="AH9" s="115"/>
      <c r="AI9" s="107"/>
      <c r="AJ9" s="104" t="str">
        <f>IF(C8="",IF(D9="","",D9),AI8-AI10)</f>
        <v/>
      </c>
    </row>
    <row r="10" spans="2:56" ht="20.100000000000001" customHeight="1" x14ac:dyDescent="0.2">
      <c r="B10" s="70" t="str">
        <f>AH10</f>
        <v>Z5</v>
      </c>
      <c r="C10" s="137"/>
      <c r="D10" s="132"/>
      <c r="E10" s="11"/>
      <c r="F10" s="26"/>
      <c r="G10" s="26"/>
      <c r="H10" s="26"/>
      <c r="I10" s="26"/>
      <c r="J10" s="26"/>
      <c r="K10" s="26"/>
      <c r="L10" s="26"/>
      <c r="M10" s="26"/>
      <c r="N10" s="26"/>
      <c r="O10" s="26"/>
      <c r="P10" s="26"/>
      <c r="Q10" s="26"/>
      <c r="R10" s="26"/>
      <c r="S10" s="26"/>
      <c r="T10" s="26"/>
      <c r="U10" s="26"/>
      <c r="V10" s="26"/>
      <c r="W10" s="11"/>
      <c r="X10" s="11"/>
      <c r="AH10" s="115" t="s">
        <v>28</v>
      </c>
      <c r="AI10" s="106" t="str">
        <f>IF(C10="",IF(D11="","",D11+AI12),C10)</f>
        <v/>
      </c>
      <c r="AJ10" s="105"/>
    </row>
    <row r="11" spans="2:56" ht="20.100000000000001" customHeight="1" x14ac:dyDescent="0.2">
      <c r="B11" s="81" t="str">
        <f>IF(AI10="","",FIXED(AI10,2))</f>
        <v/>
      </c>
      <c r="C11" s="138"/>
      <c r="D11" s="131"/>
      <c r="E11" s="11"/>
      <c r="F11" s="26"/>
      <c r="G11" s="26"/>
      <c r="H11" s="26"/>
      <c r="I11" s="26"/>
      <c r="J11" s="26"/>
      <c r="K11" s="26"/>
      <c r="L11" s="26"/>
      <c r="M11" s="26"/>
      <c r="N11" s="26"/>
      <c r="O11" s="26"/>
      <c r="P11" s="26"/>
      <c r="Q11" s="26"/>
      <c r="R11" s="26"/>
      <c r="S11" s="26"/>
      <c r="T11" s="26"/>
      <c r="U11" s="26"/>
      <c r="V11" s="26"/>
      <c r="W11" s="11"/>
      <c r="X11" s="11"/>
      <c r="AH11" s="116"/>
      <c r="AI11" s="107"/>
      <c r="AJ11" s="104" t="str">
        <f>IF(C10="",IF(D11="","",D11),AI10-AI12)</f>
        <v/>
      </c>
    </row>
    <row r="12" spans="2:56" ht="20.100000000000001" customHeight="1" x14ac:dyDescent="0.2">
      <c r="B12" s="70" t="str">
        <f>AH12</f>
        <v>Z4</v>
      </c>
      <c r="C12" s="137"/>
      <c r="D12" s="132"/>
      <c r="E12" s="11"/>
      <c r="F12" s="26"/>
      <c r="G12" s="26"/>
      <c r="H12" s="26"/>
      <c r="I12" s="26"/>
      <c r="J12" s="26"/>
      <c r="K12" s="26"/>
      <c r="L12" s="26"/>
      <c r="M12" s="26"/>
      <c r="N12" s="26"/>
      <c r="O12" s="26"/>
      <c r="P12" s="26"/>
      <c r="Q12" s="26"/>
      <c r="R12" s="26"/>
      <c r="S12" s="26"/>
      <c r="T12" s="26"/>
      <c r="U12" s="26"/>
      <c r="V12" s="26"/>
      <c r="W12" s="11"/>
      <c r="X12" s="11"/>
      <c r="AH12" s="115" t="s">
        <v>29</v>
      </c>
      <c r="AI12" s="106" t="str">
        <f>IF(C12="",IF(D13="","",D13+AI14),C12)</f>
        <v/>
      </c>
      <c r="AJ12" s="105"/>
    </row>
    <row r="13" spans="2:56" ht="20.100000000000001" customHeight="1" x14ac:dyDescent="0.2">
      <c r="B13" s="81" t="str">
        <f>IF(AI12="","",FIXED(AI12,2))</f>
        <v/>
      </c>
      <c r="C13" s="138"/>
      <c r="D13" s="131"/>
      <c r="E13" s="11"/>
      <c r="F13" s="26"/>
      <c r="G13" s="26"/>
      <c r="H13" s="26"/>
      <c r="I13" s="26"/>
      <c r="J13" s="26"/>
      <c r="K13" s="26"/>
      <c r="L13" s="26"/>
      <c r="M13" s="26"/>
      <c r="N13" s="26"/>
      <c r="O13" s="26"/>
      <c r="P13" s="26"/>
      <c r="Q13" s="26"/>
      <c r="R13" s="26"/>
      <c r="S13" s="26"/>
      <c r="T13" s="26"/>
      <c r="U13" s="26"/>
      <c r="V13" s="26"/>
      <c r="W13" s="11"/>
      <c r="X13" s="11"/>
      <c r="AH13" s="115"/>
      <c r="AI13" s="107"/>
      <c r="AJ13" s="104" t="str">
        <f>IF(C12="",IF(D13="","",D13),AI12-AI14)</f>
        <v/>
      </c>
    </row>
    <row r="14" spans="2:56" ht="20.100000000000001" customHeight="1" x14ac:dyDescent="0.2">
      <c r="B14" s="70" t="str">
        <f>AH14</f>
        <v>Z3</v>
      </c>
      <c r="C14" s="137">
        <v>148</v>
      </c>
      <c r="D14" s="132"/>
      <c r="E14" s="11"/>
      <c r="F14" s="26"/>
      <c r="G14" s="26"/>
      <c r="H14" s="26"/>
      <c r="I14" s="26"/>
      <c r="J14" s="26"/>
      <c r="K14" s="26"/>
      <c r="L14" s="26"/>
      <c r="M14" s="26"/>
      <c r="N14" s="26"/>
      <c r="O14" s="26"/>
      <c r="P14" s="26"/>
      <c r="Q14" s="26"/>
      <c r="R14" s="26"/>
      <c r="S14" s="26"/>
      <c r="T14" s="26"/>
      <c r="U14" s="26"/>
      <c r="V14" s="26"/>
      <c r="W14" s="11"/>
      <c r="X14" s="11"/>
      <c r="AH14" s="115" t="s">
        <v>30</v>
      </c>
      <c r="AI14" s="106">
        <f>IF(C14="",IF(D15="","",D15+AI16),C14)</f>
        <v>148</v>
      </c>
      <c r="AJ14" s="105"/>
    </row>
    <row r="15" spans="2:56" ht="20.100000000000001" customHeight="1" x14ac:dyDescent="0.2">
      <c r="B15" s="81" t="str">
        <f>IF(AI14="","",FIXED(AI14,2))</f>
        <v>148.00</v>
      </c>
      <c r="C15" s="139"/>
      <c r="D15" s="131"/>
      <c r="E15" s="11"/>
      <c r="F15" s="26"/>
      <c r="G15" s="26"/>
      <c r="H15" s="26"/>
      <c r="I15" s="26"/>
      <c r="J15" s="26"/>
      <c r="K15" s="26"/>
      <c r="L15" s="26"/>
      <c r="M15" s="26"/>
      <c r="N15" s="26"/>
      <c r="O15" s="26"/>
      <c r="P15" s="26"/>
      <c r="Q15" s="26"/>
      <c r="R15" s="26"/>
      <c r="S15" s="26"/>
      <c r="T15" s="26"/>
      <c r="U15" s="26"/>
      <c r="V15" s="26"/>
      <c r="W15" s="11"/>
      <c r="X15" s="11"/>
      <c r="AH15" s="116"/>
      <c r="AI15" s="107"/>
      <c r="AJ15" s="104">
        <f>IF(C14="",IF(D15="","",D15),AI14-AI16)</f>
        <v>12</v>
      </c>
    </row>
    <row r="16" spans="2:56" ht="20.100000000000001" customHeight="1" x14ac:dyDescent="0.2">
      <c r="B16" s="70" t="str">
        <f>AH16</f>
        <v>Z2</v>
      </c>
      <c r="C16" s="137"/>
      <c r="D16" s="132"/>
      <c r="E16" s="11"/>
      <c r="F16" s="26"/>
      <c r="G16" s="26"/>
      <c r="H16" s="26"/>
      <c r="I16" s="26"/>
      <c r="J16" s="26"/>
      <c r="K16" s="26"/>
      <c r="L16" s="26"/>
      <c r="M16" s="26"/>
      <c r="N16" s="26"/>
      <c r="O16" s="26"/>
      <c r="P16" s="26"/>
      <c r="Q16" s="26"/>
      <c r="R16" s="26"/>
      <c r="S16" s="26"/>
      <c r="T16" s="26"/>
      <c r="U16" s="26"/>
      <c r="V16" s="26"/>
      <c r="W16" s="11"/>
      <c r="X16" s="11"/>
      <c r="AH16" s="115" t="s">
        <v>26</v>
      </c>
      <c r="AI16" s="106">
        <f>IF(C16="",IF(D17="","",D17+AI18),C16)</f>
        <v>136</v>
      </c>
      <c r="AJ16" s="105"/>
    </row>
    <row r="17" spans="2:66" ht="20.100000000000001" customHeight="1" x14ac:dyDescent="0.2">
      <c r="B17" s="81" t="str">
        <f>IF(AI16="","",FIXED(AI16,2))</f>
        <v>136.00</v>
      </c>
      <c r="C17" s="139"/>
      <c r="D17" s="131">
        <v>12</v>
      </c>
      <c r="E17" s="11"/>
      <c r="F17" s="26"/>
      <c r="G17" s="26"/>
      <c r="H17" s="26"/>
      <c r="I17" s="26"/>
      <c r="J17" s="26"/>
      <c r="K17" s="26"/>
      <c r="L17" s="26"/>
      <c r="M17" s="26"/>
      <c r="N17" s="26"/>
      <c r="O17" s="26"/>
      <c r="P17" s="26"/>
      <c r="Q17" s="26"/>
      <c r="R17" s="26"/>
      <c r="S17" s="26"/>
      <c r="T17" s="26"/>
      <c r="U17" s="26"/>
      <c r="V17" s="26"/>
      <c r="W17" s="11"/>
      <c r="X17" s="11"/>
      <c r="AH17" s="115"/>
      <c r="AI17" s="107"/>
      <c r="AJ17" s="104">
        <f>IF(C16="",IF(D17="","",D17),AI16-AI18)</f>
        <v>12</v>
      </c>
    </row>
    <row r="18" spans="2:66" ht="20.100000000000001" customHeight="1" x14ac:dyDescent="0.2">
      <c r="B18" s="70" t="str">
        <f>AH18</f>
        <v>Z1</v>
      </c>
      <c r="C18" s="137"/>
      <c r="D18" s="132"/>
      <c r="E18" s="11"/>
      <c r="F18" s="26"/>
      <c r="G18" s="26"/>
      <c r="H18" s="26"/>
      <c r="I18" s="26"/>
      <c r="J18" s="26"/>
      <c r="K18" s="26"/>
      <c r="L18" s="26"/>
      <c r="M18" s="26"/>
      <c r="N18" s="26"/>
      <c r="O18" s="26"/>
      <c r="P18" s="26"/>
      <c r="Q18" s="26"/>
      <c r="R18" s="26"/>
      <c r="S18" s="26"/>
      <c r="T18" s="26"/>
      <c r="U18" s="26"/>
      <c r="V18" s="26"/>
      <c r="W18" s="11"/>
      <c r="X18" s="11"/>
      <c r="AH18" s="115" t="s">
        <v>25</v>
      </c>
      <c r="AI18" s="106">
        <f>IF(C18="",IF(D19="","",D19+AI20),C18)</f>
        <v>124</v>
      </c>
      <c r="AJ18" s="105"/>
    </row>
    <row r="19" spans="2:66" ht="20.100000000000001" customHeight="1" x14ac:dyDescent="0.2">
      <c r="B19" s="81" t="str">
        <f>IF(AI18="","",FIXED(AI18,2))</f>
        <v>124.00</v>
      </c>
      <c r="C19" s="138"/>
      <c r="D19" s="131">
        <v>4</v>
      </c>
      <c r="E19" s="11"/>
      <c r="F19" s="26"/>
      <c r="G19" s="26"/>
      <c r="H19" s="26"/>
      <c r="I19" s="26"/>
      <c r="J19" s="26"/>
      <c r="K19" s="26"/>
      <c r="L19" s="26"/>
      <c r="M19" s="26"/>
      <c r="N19" s="26"/>
      <c r="O19" s="26"/>
      <c r="P19" s="26"/>
      <c r="Q19" s="26"/>
      <c r="R19" s="26"/>
      <c r="S19" s="26"/>
      <c r="T19" s="26"/>
      <c r="U19" s="26"/>
      <c r="V19" s="26"/>
      <c r="W19" s="11"/>
      <c r="X19" s="11"/>
      <c r="AH19" s="116"/>
      <c r="AI19" s="107"/>
      <c r="AJ19" s="104">
        <f>IF(C18="",IF(D19="","",D19),AI18-AI20)</f>
        <v>4</v>
      </c>
    </row>
    <row r="20" spans="2:66" ht="20.100000000000001" customHeight="1" x14ac:dyDescent="0.2">
      <c r="B20" s="70" t="str">
        <f>AH20</f>
        <v>Z0</v>
      </c>
      <c r="C20" s="137">
        <v>120</v>
      </c>
      <c r="D20" s="141"/>
      <c r="E20" s="11"/>
      <c r="F20" s="26"/>
      <c r="G20" s="26"/>
      <c r="H20" s="26"/>
      <c r="I20" s="26"/>
      <c r="J20" s="26"/>
      <c r="K20" s="26"/>
      <c r="L20" s="26"/>
      <c r="M20" s="26"/>
      <c r="N20" s="26"/>
      <c r="O20" s="26"/>
      <c r="P20" s="26"/>
      <c r="Q20" s="26"/>
      <c r="R20" s="26"/>
      <c r="S20" s="26"/>
      <c r="T20" s="26"/>
      <c r="U20" s="26"/>
      <c r="V20" s="26"/>
      <c r="W20" s="11"/>
      <c r="X20" s="11"/>
      <c r="AH20" s="115" t="s">
        <v>117</v>
      </c>
      <c r="AI20" s="106">
        <f>IF(C20="",IF(D21="","",D21+#REF!),C20)</f>
        <v>120</v>
      </c>
      <c r="AJ20" s="105"/>
    </row>
    <row r="21" spans="2:66" ht="20.100000000000001" customHeight="1" x14ac:dyDescent="0.2">
      <c r="B21" s="81" t="str">
        <f>IF(AI20="","",FIXED(AI20,2))</f>
        <v>120.00</v>
      </c>
      <c r="C21" s="139"/>
      <c r="D21" s="13"/>
      <c r="E21" s="11"/>
      <c r="F21" s="26"/>
      <c r="G21" s="26"/>
      <c r="H21" s="26"/>
      <c r="I21" s="26"/>
      <c r="J21" s="26"/>
      <c r="K21" s="26"/>
      <c r="L21" s="26"/>
      <c r="M21" s="26"/>
      <c r="N21" s="26"/>
      <c r="O21" s="26"/>
      <c r="P21" s="26"/>
      <c r="Q21" s="26"/>
      <c r="R21" s="26"/>
      <c r="S21" s="26"/>
      <c r="T21" s="26"/>
      <c r="U21" s="26"/>
      <c r="V21" s="26"/>
      <c r="W21" s="11"/>
      <c r="X21" s="11"/>
      <c r="AH21" s="115"/>
      <c r="AI21" s="107"/>
      <c r="AJ21" s="68"/>
    </row>
    <row r="22" spans="2:66" ht="12.75" customHeight="1" x14ac:dyDescent="0.2">
      <c r="D22" s="2" t="s">
        <v>345</v>
      </c>
      <c r="E22" s="83" t="str">
        <f>IF(AK25="",E7,CONCATENATE(E7," (",FIXED(AK25,2),")"))</f>
        <v>1 (-6.00)</v>
      </c>
      <c r="F22" s="84"/>
      <c r="G22" s="83" t="str">
        <f>IF(AM25="",G7,CONCATENATE(G7," (",FIXED(AM25,2),")"))</f>
        <v>2 (6.00)</v>
      </c>
      <c r="H22" s="84"/>
      <c r="I22" s="83" t="str">
        <f>IF(AO25="",I7,CONCATENATE(I7," (",FIXED(AO25,2),")"))</f>
        <v>3 (10.00)</v>
      </c>
      <c r="J22" s="84"/>
      <c r="K22" s="83" t="str">
        <f>IF(AQ25="",K7,CONCATENATE(K7," (",FIXED(AQ25,2),")"))</f>
        <v>4 (12.00)</v>
      </c>
      <c r="L22" s="84"/>
      <c r="M22" s="83" t="str">
        <f>IF(AS25="",M7,CONCATENATE(M7," (",FIXED(AS25,2),")"))</f>
        <v>5 (18.00)</v>
      </c>
      <c r="N22" s="84"/>
      <c r="O22" s="83" t="str">
        <f>IF(AU25="",O7,CONCATENATE(O7," (",FIXED(AU25,2),")"))</f>
        <v>6 (22.00)</v>
      </c>
      <c r="P22" s="84"/>
      <c r="Q22" s="83" t="str">
        <f>IF(AW25="",Q7,CONCATENATE(Q7," (",FIXED(AW25,2),")"))</f>
        <v>7 (30.00)</v>
      </c>
      <c r="R22" s="84"/>
      <c r="S22" s="83" t="str">
        <f>IF(AY25="",S7,CONCATENATE(S7," (",FIXED(AY25,2),")"))</f>
        <v>8 (32.00)</v>
      </c>
      <c r="T22" s="84"/>
      <c r="U22" s="83" t="str">
        <f>IF(BA25="",U7,CONCATENATE(U7," (",FIXED(BA25,2),")"))</f>
        <v>9 (34.00)</v>
      </c>
      <c r="V22" s="84"/>
      <c r="W22" s="83" t="str">
        <f>IF(BC25="",W7,CONCATENATE(W7," (",FIXED(BC25,2),")"))</f>
        <v>10 (42.00)</v>
      </c>
      <c r="X22" s="84"/>
      <c r="Y22" s="83" t="str">
        <f>IF(BE25="",Y7,CONCATENATE(Y7," (",FIXED(BE25,2),")"))</f>
        <v>11</v>
      </c>
      <c r="Z22" s="84"/>
      <c r="AA22" s="83" t="str">
        <f>IF(BG25="",AA7,CONCATENATE(AA7," (",FIXED(BG25,2),")"))</f>
        <v>12</v>
      </c>
      <c r="AB22" s="84"/>
      <c r="AC22" s="83" t="str">
        <f>IF(BI25="",AC7,CONCATENATE(AC7," (",FIXED(BI25,2),")"))</f>
        <v>13</v>
      </c>
      <c r="AD22" s="84"/>
      <c r="AE22" s="83" t="str">
        <f>IF(BK25="",AE7,CONCATENATE(AE7," (",FIXED(BK25,2),")"))</f>
        <v>14</v>
      </c>
      <c r="AF22" s="84"/>
      <c r="AJ22" s="23" t="s">
        <v>121</v>
      </c>
      <c r="AK22" s="102" t="s">
        <v>16</v>
      </c>
      <c r="AL22" s="103"/>
      <c r="AM22" s="102" t="s">
        <v>17</v>
      </c>
      <c r="AN22" s="103"/>
      <c r="AO22" s="102" t="s">
        <v>18</v>
      </c>
      <c r="AP22" s="103"/>
      <c r="AQ22" s="102" t="s">
        <v>19</v>
      </c>
      <c r="AR22" s="103"/>
      <c r="AS22" s="102" t="s">
        <v>20</v>
      </c>
      <c r="AT22" s="103"/>
      <c r="AU22" s="102" t="s">
        <v>21</v>
      </c>
      <c r="AV22" s="103"/>
      <c r="AW22" s="102" t="s">
        <v>22</v>
      </c>
      <c r="AX22" s="103"/>
      <c r="AY22" s="102" t="s">
        <v>23</v>
      </c>
      <c r="AZ22" s="103"/>
      <c r="BA22" s="102" t="s">
        <v>24</v>
      </c>
      <c r="BB22" s="103"/>
      <c r="BC22" s="102" t="s">
        <v>119</v>
      </c>
      <c r="BD22" s="103"/>
      <c r="BE22" s="102" t="s">
        <v>494</v>
      </c>
      <c r="BF22" s="103"/>
      <c r="BG22" s="102" t="s">
        <v>495</v>
      </c>
      <c r="BH22" s="103"/>
      <c r="BI22" s="102" t="s">
        <v>496</v>
      </c>
      <c r="BJ22" s="103"/>
      <c r="BK22" s="102" t="s">
        <v>497</v>
      </c>
      <c r="BL22" s="103"/>
      <c r="BM22" s="102" t="s">
        <v>498</v>
      </c>
      <c r="BN22" s="103"/>
    </row>
    <row r="23" spans="2:66" ht="12.75" customHeight="1" x14ac:dyDescent="0.2">
      <c r="D23" s="28" t="s">
        <v>384</v>
      </c>
      <c r="E23" s="91" t="s">
        <v>363</v>
      </c>
      <c r="F23" s="92"/>
      <c r="G23" s="91" t="s">
        <v>515</v>
      </c>
      <c r="H23" s="92"/>
      <c r="I23" s="91" t="s">
        <v>361</v>
      </c>
      <c r="J23" s="92"/>
      <c r="K23" s="91" t="s">
        <v>515</v>
      </c>
      <c r="L23" s="92"/>
      <c r="M23" s="91" t="s">
        <v>363</v>
      </c>
      <c r="N23" s="92"/>
      <c r="O23" s="91" t="s">
        <v>363</v>
      </c>
      <c r="P23" s="92"/>
      <c r="Q23" s="91" t="s">
        <v>515</v>
      </c>
      <c r="R23" s="92"/>
      <c r="S23" s="91" t="s">
        <v>368</v>
      </c>
      <c r="T23" s="92"/>
      <c r="U23" s="91" t="s">
        <v>363</v>
      </c>
      <c r="V23" s="92"/>
      <c r="W23" s="91" t="s">
        <v>363</v>
      </c>
      <c r="X23" s="92"/>
      <c r="Y23" s="91"/>
      <c r="Z23" s="92"/>
      <c r="AA23" s="91"/>
      <c r="AB23" s="92"/>
      <c r="AC23" s="91"/>
      <c r="AD23" s="92"/>
      <c r="AE23" s="91"/>
      <c r="AF23" s="92"/>
      <c r="AJ23" s="24" t="s">
        <v>384</v>
      </c>
      <c r="AK23" s="86" t="str">
        <f>IF(E23="","",E23)</f>
        <v>HE800B</v>
      </c>
      <c r="AL23" s="84"/>
      <c r="AM23" s="86" t="str">
        <f>IF(G23="","",G23)</f>
        <v>No_Beam</v>
      </c>
      <c r="AN23" s="84"/>
      <c r="AO23" s="86" t="str">
        <f>IF(I23="","",I23)</f>
        <v>HE400B</v>
      </c>
      <c r="AP23" s="84"/>
      <c r="AQ23" s="86" t="str">
        <f>IF(K23="","",K23)</f>
        <v>No_Beam</v>
      </c>
      <c r="AR23" s="84"/>
      <c r="AS23" s="86" t="str">
        <f>IF(M23="","",M23)</f>
        <v>HE800B</v>
      </c>
      <c r="AT23" s="84"/>
      <c r="AU23" s="86" t="str">
        <f>IF(O23="","",O23)</f>
        <v>HE800B</v>
      </c>
      <c r="AV23" s="84"/>
      <c r="AW23" s="86" t="str">
        <f>IF(Q23="","",Q23)</f>
        <v>No_Beam</v>
      </c>
      <c r="AX23" s="84"/>
      <c r="AY23" s="86" t="str">
        <f>IF(S23="","",S23)</f>
        <v>IPE600</v>
      </c>
      <c r="AZ23" s="84"/>
      <c r="BA23" s="86" t="str">
        <f>IF(U23="","",U23)</f>
        <v>HE800B</v>
      </c>
      <c r="BB23" s="84"/>
      <c r="BC23" s="86" t="str">
        <f>IF(W23="","",W23)</f>
        <v>HE800B</v>
      </c>
      <c r="BD23" s="84"/>
      <c r="BE23" s="86" t="str">
        <f>IF(Y23="","",Y23)</f>
        <v/>
      </c>
      <c r="BF23" s="84"/>
      <c r="BG23" s="86" t="str">
        <f>IF(AA23="","",AA23)</f>
        <v/>
      </c>
      <c r="BH23" s="84"/>
      <c r="BI23" s="86" t="str">
        <f>IF(AC23="","",AC23)</f>
        <v/>
      </c>
      <c r="BJ23" s="84"/>
      <c r="BK23" s="86" t="str">
        <f>IF(AE23="","",AE23)</f>
        <v/>
      </c>
      <c r="BL23" s="84"/>
      <c r="BM23" s="86" t="str">
        <f>IF(AG23="","",AG23)</f>
        <v/>
      </c>
      <c r="BN23" s="84"/>
    </row>
    <row r="24" spans="2:66" ht="12.75" customHeight="1" x14ac:dyDescent="0.2">
      <c r="D24" s="28" t="s">
        <v>457</v>
      </c>
      <c r="E24" s="91" t="s">
        <v>457</v>
      </c>
      <c r="F24" s="92"/>
      <c r="G24" s="91" t="s">
        <v>457</v>
      </c>
      <c r="H24" s="92"/>
      <c r="I24" s="91" t="s">
        <v>457</v>
      </c>
      <c r="J24" s="92"/>
      <c r="K24" s="91" t="s">
        <v>459</v>
      </c>
      <c r="L24" s="92"/>
      <c r="M24" s="91" t="s">
        <v>457</v>
      </c>
      <c r="N24" s="92"/>
      <c r="O24" s="91" t="s">
        <v>457</v>
      </c>
      <c r="P24" s="92"/>
      <c r="Q24" s="91" t="s">
        <v>457</v>
      </c>
      <c r="R24" s="92"/>
      <c r="S24" s="91" t="s">
        <v>459</v>
      </c>
      <c r="T24" s="92"/>
      <c r="U24" s="91" t="s">
        <v>457</v>
      </c>
      <c r="V24" s="92"/>
      <c r="W24" s="91" t="s">
        <v>457</v>
      </c>
      <c r="X24" s="92"/>
      <c r="Y24" s="91"/>
      <c r="Z24" s="92"/>
      <c r="AA24" s="91"/>
      <c r="AB24" s="92"/>
      <c r="AC24" s="91"/>
      <c r="AD24" s="92"/>
      <c r="AE24" s="91"/>
      <c r="AF24" s="92"/>
      <c r="AJ24" s="24" t="s">
        <v>457</v>
      </c>
      <c r="AK24" s="86" t="str">
        <f>IF(E24="","",E24)</f>
        <v>Column</v>
      </c>
      <c r="AL24" s="84"/>
      <c r="AM24" s="86" t="str">
        <f>IF(G24="","",G24)</f>
        <v>Column</v>
      </c>
      <c r="AN24" s="84"/>
      <c r="AO24" s="86" t="str">
        <f>IF(I24="","",I24)</f>
        <v>Column</v>
      </c>
      <c r="AP24" s="84"/>
      <c r="AQ24" s="86" t="str">
        <f>IF(K24="","",K24)</f>
        <v>No_Col</v>
      </c>
      <c r="AR24" s="84"/>
      <c r="AS24" s="86" t="str">
        <f>IF(M24="","",M24)</f>
        <v>Column</v>
      </c>
      <c r="AT24" s="84"/>
      <c r="AU24" s="86" t="str">
        <f>IF(O24="","",O24)</f>
        <v>Column</v>
      </c>
      <c r="AV24" s="84"/>
      <c r="AW24" s="86" t="str">
        <f>IF(Q24="","",Q24)</f>
        <v>Column</v>
      </c>
      <c r="AX24" s="84"/>
      <c r="AY24" s="86" t="str">
        <f>IF(S24="","",S24)</f>
        <v>No_Col</v>
      </c>
      <c r="AZ24" s="84"/>
      <c r="BA24" s="86" t="str">
        <f>IF(U24="","",U24)</f>
        <v>Column</v>
      </c>
      <c r="BB24" s="84"/>
      <c r="BC24" s="86" t="str">
        <f>IF(W24="","",W24)</f>
        <v>Column</v>
      </c>
      <c r="BD24" s="84"/>
      <c r="BE24" s="86" t="str">
        <f>IF(Y24="","",Y24)</f>
        <v/>
      </c>
      <c r="BF24" s="84"/>
      <c r="BG24" s="86" t="str">
        <f>IF(AA24="","",AA24)</f>
        <v/>
      </c>
      <c r="BH24" s="84"/>
      <c r="BI24" s="86" t="str">
        <f>IF(AC24="","",AC24)</f>
        <v/>
      </c>
      <c r="BJ24" s="84"/>
      <c r="BK24" s="86" t="str">
        <f>IF(AE24="","",AE24)</f>
        <v/>
      </c>
      <c r="BL24" s="84"/>
      <c r="BM24" s="86" t="str">
        <f>IF(AG24="","",AG24)</f>
        <v/>
      </c>
      <c r="BN24" s="84"/>
    </row>
    <row r="25" spans="2:66" ht="12.75" customHeight="1" x14ac:dyDescent="0.2">
      <c r="D25" s="28" t="s">
        <v>120</v>
      </c>
      <c r="E25" s="91">
        <v>-6</v>
      </c>
      <c r="F25" s="92"/>
      <c r="G25" s="91"/>
      <c r="H25" s="92"/>
      <c r="I25" s="91"/>
      <c r="J25" s="92"/>
      <c r="K25" s="91"/>
      <c r="L25" s="92"/>
      <c r="M25" s="91"/>
      <c r="N25" s="92"/>
      <c r="O25" s="91"/>
      <c r="P25" s="92"/>
      <c r="Q25" s="91"/>
      <c r="R25" s="92"/>
      <c r="S25" s="91"/>
      <c r="T25" s="92"/>
      <c r="U25" s="91"/>
      <c r="V25" s="92"/>
      <c r="W25" s="91"/>
      <c r="X25" s="92"/>
      <c r="Y25" s="91"/>
      <c r="Z25" s="92"/>
      <c r="AA25" s="91"/>
      <c r="AB25" s="92"/>
      <c r="AC25" s="91"/>
      <c r="AD25" s="92"/>
      <c r="AE25" s="91"/>
      <c r="AF25" s="92"/>
      <c r="AJ25" s="24" t="s">
        <v>120</v>
      </c>
      <c r="AK25" s="86">
        <f>E25</f>
        <v>-6</v>
      </c>
      <c r="AL25" s="87"/>
      <c r="AM25" s="86">
        <f>IF(G25="",IF(F26="","",AK25+F26),G25)</f>
        <v>6</v>
      </c>
      <c r="AN25" s="84"/>
      <c r="AO25" s="86">
        <f>IF(I25="",IF(H26="","",AM25+H26),I25)</f>
        <v>10</v>
      </c>
      <c r="AP25" s="84"/>
      <c r="AQ25" s="86">
        <f>IF(K25="",IF(J26="","",AO25+J26),K25)</f>
        <v>12</v>
      </c>
      <c r="AR25" s="84"/>
      <c r="AS25" s="86">
        <f>IF(M25="",IF(L26="","",AQ25+L26),M25)</f>
        <v>18</v>
      </c>
      <c r="AT25" s="84"/>
      <c r="AU25" s="86">
        <f>IF(O25="",IF(N26="","",AS25+N26),O25)</f>
        <v>22</v>
      </c>
      <c r="AV25" s="84"/>
      <c r="AW25" s="86">
        <f>IF(Q25="",IF(P26="","",AU25+P26),Q25)</f>
        <v>30</v>
      </c>
      <c r="AX25" s="84"/>
      <c r="AY25" s="86">
        <f>IF(S25="",IF(R26="","",AW25+R26),S25)</f>
        <v>32</v>
      </c>
      <c r="AZ25" s="84"/>
      <c r="BA25" s="86">
        <f>IF(U25="",IF(T26="","",AY25+T26),U25)</f>
        <v>34</v>
      </c>
      <c r="BB25" s="84"/>
      <c r="BC25" s="86">
        <f>IF(W25="",IF(V26="","",BA25+V26),W25)</f>
        <v>42</v>
      </c>
      <c r="BD25" s="84"/>
      <c r="BE25" s="86" t="str">
        <f>IF(Y25="",IF(X26="","",BC25+X26),Y25)</f>
        <v/>
      </c>
      <c r="BF25" s="84"/>
      <c r="BG25" s="86" t="str">
        <f>IF(AA25="",IF(Z26="","",BE25+Z26),AA25)</f>
        <v/>
      </c>
      <c r="BH25" s="84"/>
      <c r="BI25" s="86" t="str">
        <f>IF(AC25="",IF(AB26="","",BG25+AB26),AC25)</f>
        <v/>
      </c>
      <c r="BJ25" s="84"/>
      <c r="BK25" s="86" t="str">
        <f>IF(AE25="",IF(AD26="","",BI25+AD26),AE25)</f>
        <v/>
      </c>
      <c r="BL25" s="84"/>
      <c r="BM25" s="86" t="str">
        <f>IF(AG25="",IF(AF26="","",BK25+AF26),AG25)</f>
        <v/>
      </c>
      <c r="BN25" s="84"/>
    </row>
    <row r="26" spans="2:66" ht="12.75" customHeight="1" x14ac:dyDescent="0.2">
      <c r="D26" s="32" t="s">
        <v>110</v>
      </c>
      <c r="E26" s="21"/>
      <c r="F26" s="91">
        <v>12</v>
      </c>
      <c r="G26" s="92"/>
      <c r="H26" s="91">
        <v>4</v>
      </c>
      <c r="I26" s="92"/>
      <c r="J26" s="91">
        <v>2</v>
      </c>
      <c r="K26" s="135"/>
      <c r="L26" s="91">
        <v>6</v>
      </c>
      <c r="M26" s="135"/>
      <c r="N26" s="91">
        <v>4</v>
      </c>
      <c r="O26" s="135"/>
      <c r="P26" s="91">
        <v>8</v>
      </c>
      <c r="Q26" s="135"/>
      <c r="R26" s="91">
        <v>2</v>
      </c>
      <c r="S26" s="135"/>
      <c r="T26" s="91">
        <v>2</v>
      </c>
      <c r="U26" s="135"/>
      <c r="V26" s="91">
        <v>8</v>
      </c>
      <c r="W26" s="135"/>
      <c r="X26" s="91"/>
      <c r="Y26" s="92"/>
      <c r="Z26" s="91"/>
      <c r="AA26" s="92"/>
      <c r="AB26" s="91"/>
      <c r="AC26" s="92"/>
      <c r="AD26" s="91"/>
      <c r="AE26" s="92"/>
      <c r="AF26" s="2"/>
      <c r="AJ26" s="22" t="s">
        <v>118</v>
      </c>
      <c r="AK26" s="2"/>
      <c r="AL26" s="86">
        <f>IF(G25="",IF(F26="","",F26),AM25-AK25)</f>
        <v>12</v>
      </c>
      <c r="AM26" s="87"/>
      <c r="AN26" s="86">
        <f>IF(I25="",IF(H26="","",H26),AO25-AM25)</f>
        <v>4</v>
      </c>
      <c r="AO26" s="87"/>
      <c r="AP26" s="86">
        <f>IF(K25="",IF(J26="","",J26),AQ25-AO25)</f>
        <v>2</v>
      </c>
      <c r="AQ26" s="87"/>
      <c r="AR26" s="86">
        <f>IF(M25="",IF(L26="","",L26),AS25-AQ25)</f>
        <v>6</v>
      </c>
      <c r="AS26" s="87"/>
      <c r="AT26" s="86">
        <f>IF(O25="",IF(N26="","",N26),AU25-AS25)</f>
        <v>4</v>
      </c>
      <c r="AU26" s="87"/>
      <c r="AV26" s="86">
        <f>IF(Q25="",IF(P26="","",P26),AW25-AU25)</f>
        <v>8</v>
      </c>
      <c r="AW26" s="87"/>
      <c r="AX26" s="86">
        <f>IF(S25="",IF(R26="","",R26),AY25-AW25)</f>
        <v>2</v>
      </c>
      <c r="AY26" s="87"/>
      <c r="AZ26" s="86">
        <f>IF(U25="",IF(T26="","",T26),BA25-AY25)</f>
        <v>2</v>
      </c>
      <c r="BA26" s="87"/>
      <c r="BB26" s="86">
        <f>IF(W25="",IF(V26="","",V26),BC25-BA25)</f>
        <v>8</v>
      </c>
      <c r="BC26" s="87"/>
      <c r="BD26" s="86" t="str">
        <f>IF(Y25="",IF(X26="","",X26),BE25-BC25)</f>
        <v/>
      </c>
      <c r="BE26" s="87"/>
      <c r="BF26" s="86" t="str">
        <f>IF(AA25="",IF(Z26="","",Z26),BG25-BE25)</f>
        <v/>
      </c>
      <c r="BG26" s="87"/>
      <c r="BH26" s="86" t="str">
        <f>IF(AC25="",IF(AB26="","",AB26),BI25-BG25)</f>
        <v/>
      </c>
      <c r="BI26" s="87"/>
      <c r="BJ26" s="86" t="str">
        <f>IF(AE25="",IF(AD26="","",AD26),BK25-BI25)</f>
        <v/>
      </c>
      <c r="BK26" s="87"/>
      <c r="BL26" s="86" t="str">
        <f>IF(AG25="",IF(AF26="","",AF26),BM25-BK25)</f>
        <v/>
      </c>
      <c r="BM26" s="87"/>
      <c r="BN26" s="19"/>
    </row>
    <row r="27" spans="2:66" ht="12.75" customHeight="1" x14ac:dyDescent="0.2">
      <c r="D27" s="22" t="s">
        <v>4</v>
      </c>
      <c r="E27" s="21"/>
      <c r="F27" s="117" t="s">
        <v>1</v>
      </c>
      <c r="G27" s="142"/>
      <c r="H27" s="117" t="s">
        <v>3</v>
      </c>
      <c r="I27" s="142"/>
      <c r="J27" s="117" t="s">
        <v>1</v>
      </c>
      <c r="K27" s="118"/>
      <c r="L27" s="117" t="s">
        <v>1</v>
      </c>
      <c r="M27" s="118"/>
      <c r="N27" s="117" t="s">
        <v>0</v>
      </c>
      <c r="O27" s="118"/>
      <c r="P27" s="117" t="s">
        <v>1</v>
      </c>
      <c r="Q27" s="118"/>
      <c r="R27" s="117" t="s">
        <v>3</v>
      </c>
      <c r="S27" s="118"/>
      <c r="T27" s="117" t="s">
        <v>2</v>
      </c>
      <c r="U27" s="118"/>
      <c r="V27" s="117" t="s">
        <v>1</v>
      </c>
      <c r="W27" s="118"/>
      <c r="X27" s="117"/>
      <c r="Y27" s="142"/>
      <c r="Z27" s="117"/>
      <c r="AA27" s="118"/>
      <c r="AB27" s="117"/>
      <c r="AC27" s="118"/>
      <c r="AD27" s="117"/>
      <c r="AE27" s="118"/>
      <c r="AF27" s="2"/>
    </row>
    <row r="28" spans="2:66" ht="12.75" customHeight="1" x14ac:dyDescent="0.2">
      <c r="B28" s="62"/>
      <c r="E28" s="3"/>
      <c r="F28" s="3"/>
      <c r="G28" s="3"/>
    </row>
    <row r="29" spans="2:66" ht="12.75" customHeight="1" x14ac:dyDescent="0.2">
      <c r="H29" s="4"/>
      <c r="I29" s="4"/>
      <c r="J29" s="4"/>
      <c r="K29" s="4"/>
      <c r="L29" s="4"/>
      <c r="M29" s="4"/>
      <c r="N29" s="4"/>
      <c r="O29" s="4"/>
      <c r="P29" s="4"/>
      <c r="Q29" s="4"/>
      <c r="R29" s="4"/>
      <c r="S29" s="4"/>
      <c r="T29" s="4"/>
      <c r="U29" s="4"/>
      <c r="V29" s="4"/>
      <c r="W29" s="4"/>
      <c r="X29" s="4"/>
      <c r="Y29" s="4"/>
    </row>
    <row r="30" spans="2:66" ht="18" x14ac:dyDescent="0.2">
      <c r="B30" s="77" t="s">
        <v>342</v>
      </c>
      <c r="C30" s="74"/>
      <c r="AK30" s="89"/>
      <c r="AL30" s="90"/>
      <c r="AM30" s="89"/>
      <c r="AN30" s="90"/>
      <c r="AO30" s="89"/>
      <c r="AP30" s="90"/>
      <c r="AQ30" s="89"/>
      <c r="AR30" s="90"/>
      <c r="AS30" s="89"/>
      <c r="AT30" s="90"/>
      <c r="AU30" s="89"/>
      <c r="AV30" s="90"/>
      <c r="AW30" s="89"/>
      <c r="AX30" s="90"/>
      <c r="AY30" s="89"/>
      <c r="AZ30" s="90"/>
      <c r="BA30" s="89"/>
      <c r="BB30" s="90"/>
      <c r="BC30" s="89"/>
      <c r="BD30" s="90"/>
    </row>
    <row r="31" spans="2:66" ht="12.75" customHeight="1" x14ac:dyDescent="0.2">
      <c r="B31" s="33" t="s">
        <v>32</v>
      </c>
      <c r="C31" s="20" t="s">
        <v>111</v>
      </c>
      <c r="D31" s="66" t="s">
        <v>110</v>
      </c>
      <c r="E31" s="112" t="str">
        <f>General!F72</f>
        <v>A</v>
      </c>
      <c r="F31" s="113"/>
      <c r="G31" s="112" t="str">
        <f>General!F73</f>
        <v>B</v>
      </c>
      <c r="H31" s="113"/>
      <c r="I31" s="112" t="str">
        <f>General!F74</f>
        <v>C</v>
      </c>
      <c r="J31" s="113"/>
      <c r="K31" s="112" t="str">
        <f>General!F75</f>
        <v>D</v>
      </c>
      <c r="L31" s="113"/>
      <c r="M31" s="112" t="str">
        <f>General!F76</f>
        <v>E</v>
      </c>
      <c r="N31" s="113"/>
      <c r="O31" s="112" t="str">
        <f>General!F77</f>
        <v>F</v>
      </c>
      <c r="P31" s="113"/>
      <c r="Q31" s="112" t="str">
        <f>General!F78</f>
        <v>G</v>
      </c>
      <c r="R31" s="113"/>
      <c r="S31" s="112" t="str">
        <f>General!F79</f>
        <v>H</v>
      </c>
      <c r="T31" s="113"/>
      <c r="U31" s="112" t="str">
        <f>General!F80</f>
        <v>I</v>
      </c>
      <c r="V31" s="113"/>
      <c r="W31" s="112" t="str">
        <f>General!F81</f>
        <v>J</v>
      </c>
      <c r="X31" s="113"/>
      <c r="Y31" s="112" t="str">
        <f>General!F82</f>
        <v>K</v>
      </c>
      <c r="Z31" s="113"/>
      <c r="AA31" s="112" t="str">
        <f>General!F83</f>
        <v>L</v>
      </c>
      <c r="AB31" s="113"/>
      <c r="AC31" s="112" t="str">
        <f>General!F84</f>
        <v>M</v>
      </c>
      <c r="AD31" s="113"/>
      <c r="AE31" s="112" t="str">
        <f>General!F85</f>
        <v>N</v>
      </c>
      <c r="AF31" s="113"/>
    </row>
    <row r="32" spans="2:66" ht="20.100000000000001" customHeight="1" x14ac:dyDescent="0.2">
      <c r="B32" s="133" t="s">
        <v>27</v>
      </c>
      <c r="C32" s="129" t="str">
        <f>IF(AI8="","",FIXED(AI8,2))</f>
        <v/>
      </c>
      <c r="D32" s="19"/>
      <c r="E32" s="11"/>
      <c r="F32" s="11"/>
      <c r="G32" s="11"/>
      <c r="H32" s="11"/>
      <c r="I32" s="11"/>
      <c r="J32" s="12"/>
      <c r="K32" s="11"/>
      <c r="L32" s="11"/>
      <c r="M32" s="11"/>
      <c r="N32" s="11"/>
      <c r="O32" s="11"/>
      <c r="P32" s="11"/>
      <c r="Q32" s="11"/>
      <c r="R32" s="11"/>
      <c r="S32" s="11"/>
      <c r="T32" s="11"/>
      <c r="U32" s="11"/>
      <c r="V32" s="11"/>
      <c r="W32" s="11"/>
      <c r="X32" s="11"/>
    </row>
    <row r="33" spans="2:66" ht="20.100000000000001" customHeight="1" x14ac:dyDescent="0.2">
      <c r="B33" s="130"/>
      <c r="C33" s="130"/>
      <c r="D33" s="129" t="str">
        <f>IF(AJ9="","",FIXED(AJ9,2))</f>
        <v/>
      </c>
      <c r="E33" s="11"/>
      <c r="F33" s="11"/>
      <c r="G33" s="11"/>
      <c r="H33" s="11"/>
      <c r="I33" s="11"/>
      <c r="J33" s="12"/>
      <c r="K33" s="11"/>
      <c r="L33" s="11"/>
      <c r="M33" s="11"/>
      <c r="N33" s="11"/>
      <c r="O33" s="11"/>
      <c r="P33" s="11"/>
      <c r="Q33" s="11"/>
      <c r="R33" s="11"/>
      <c r="S33" s="11"/>
      <c r="T33" s="11"/>
      <c r="U33" s="11"/>
      <c r="V33" s="11"/>
      <c r="W33" s="11"/>
      <c r="X33" s="11"/>
    </row>
    <row r="34" spans="2:66" ht="20.100000000000001" customHeight="1" x14ac:dyDescent="0.2">
      <c r="B34" s="133" t="s">
        <v>28</v>
      </c>
      <c r="C34" s="129" t="str">
        <f>IF(AI10="","",FIXED(AI10,2))</f>
        <v/>
      </c>
      <c r="D34" s="130"/>
      <c r="E34" s="11"/>
      <c r="F34" s="11"/>
      <c r="G34" s="11"/>
      <c r="H34" s="11"/>
      <c r="I34" s="11"/>
      <c r="J34" s="11"/>
      <c r="K34" s="11"/>
      <c r="L34" s="11"/>
      <c r="M34" s="11"/>
      <c r="N34" s="11"/>
      <c r="O34" s="11"/>
      <c r="P34" s="11"/>
      <c r="Q34" s="11"/>
      <c r="R34" s="11"/>
      <c r="S34" s="11"/>
      <c r="T34" s="11"/>
      <c r="U34" s="11"/>
      <c r="V34" s="11"/>
      <c r="W34" s="11"/>
      <c r="X34" s="11"/>
    </row>
    <row r="35" spans="2:66" ht="20.100000000000001" customHeight="1" x14ac:dyDescent="0.2">
      <c r="B35" s="130"/>
      <c r="C35" s="130"/>
      <c r="D35" s="129" t="str">
        <f>IF(AJ11="","",FIXED(AJ11,2))</f>
        <v/>
      </c>
      <c r="E35" s="11"/>
      <c r="F35" s="11"/>
      <c r="G35" s="11"/>
      <c r="H35" s="11"/>
      <c r="I35" s="11"/>
      <c r="J35" s="11"/>
      <c r="K35" s="11"/>
      <c r="L35" s="11"/>
      <c r="M35" s="11"/>
      <c r="N35" s="11"/>
      <c r="O35" s="11"/>
      <c r="P35" s="11"/>
      <c r="Q35" s="11"/>
      <c r="R35" s="11"/>
      <c r="S35" s="11"/>
      <c r="T35" s="11"/>
      <c r="U35" s="11"/>
      <c r="V35" s="11"/>
      <c r="W35" s="11"/>
      <c r="X35" s="11"/>
    </row>
    <row r="36" spans="2:66" ht="20.100000000000001" customHeight="1" x14ac:dyDescent="0.2">
      <c r="B36" s="133" t="s">
        <v>29</v>
      </c>
      <c r="C36" s="129" t="str">
        <f>IF(AI12="","",FIXED(AI12,2))</f>
        <v/>
      </c>
      <c r="D36" s="130"/>
      <c r="E36" s="11"/>
      <c r="F36" s="11"/>
      <c r="G36" s="11"/>
      <c r="H36" s="11"/>
      <c r="I36" s="11"/>
      <c r="J36" s="11"/>
      <c r="K36" s="11"/>
      <c r="L36" s="11"/>
      <c r="M36" s="11"/>
      <c r="N36" s="11"/>
      <c r="O36" s="11"/>
      <c r="P36" s="11"/>
      <c r="Q36" s="11"/>
      <c r="R36" s="11"/>
      <c r="S36" s="11"/>
      <c r="T36" s="11"/>
      <c r="U36" s="11"/>
      <c r="V36" s="11"/>
      <c r="W36" s="11"/>
      <c r="X36" s="11"/>
    </row>
    <row r="37" spans="2:66" ht="20.100000000000001" customHeight="1" x14ac:dyDescent="0.2">
      <c r="B37" s="130"/>
      <c r="C37" s="130"/>
      <c r="D37" s="129" t="str">
        <f>IF(AJ13="","",FIXED(AJ13,2))</f>
        <v/>
      </c>
      <c r="E37" s="11"/>
      <c r="F37" s="11"/>
      <c r="G37" s="11"/>
      <c r="H37" s="11"/>
      <c r="I37" s="11"/>
      <c r="J37" s="11"/>
      <c r="K37" s="11"/>
      <c r="L37" s="11"/>
      <c r="M37" s="11"/>
      <c r="N37" s="11"/>
      <c r="O37" s="11"/>
      <c r="P37" s="11"/>
      <c r="Q37" s="11"/>
      <c r="R37" s="11"/>
      <c r="S37" s="11"/>
      <c r="T37" s="11"/>
      <c r="U37" s="11"/>
      <c r="V37" s="11"/>
      <c r="W37" s="11"/>
      <c r="X37" s="11"/>
    </row>
    <row r="38" spans="2:66" ht="20.100000000000001" customHeight="1" x14ac:dyDescent="0.2">
      <c r="B38" s="133" t="s">
        <v>30</v>
      </c>
      <c r="C38" s="129" t="str">
        <f>IF(AI14="","",FIXED(AI14,2))</f>
        <v>148.00</v>
      </c>
      <c r="D38" s="130"/>
      <c r="E38" s="11"/>
      <c r="F38" s="11"/>
      <c r="G38" s="11"/>
      <c r="H38" s="11"/>
      <c r="I38" s="11"/>
      <c r="J38" s="11"/>
      <c r="K38" s="11"/>
      <c r="L38" s="11"/>
      <c r="M38" s="11"/>
      <c r="N38" s="11"/>
      <c r="O38" s="11"/>
      <c r="P38" s="11"/>
      <c r="Q38" s="11"/>
      <c r="R38" s="11"/>
      <c r="S38" s="11"/>
      <c r="T38" s="11"/>
      <c r="U38" s="11"/>
      <c r="V38" s="11"/>
      <c r="W38" s="11"/>
      <c r="X38" s="11"/>
    </row>
    <row r="39" spans="2:66" ht="20.100000000000001" customHeight="1" x14ac:dyDescent="0.2">
      <c r="B39" s="130"/>
      <c r="C39" s="130"/>
      <c r="D39" s="129" t="str">
        <f>IF(AJ15="","",FIXED(AJ15,2))</f>
        <v>12.00</v>
      </c>
      <c r="E39" s="11"/>
      <c r="F39" s="11"/>
      <c r="G39" s="11"/>
      <c r="H39" s="11"/>
      <c r="I39" s="11"/>
      <c r="J39" s="11"/>
      <c r="K39" s="11"/>
      <c r="L39" s="11"/>
      <c r="M39" s="11"/>
      <c r="N39" s="11"/>
      <c r="O39" s="11"/>
      <c r="P39" s="11"/>
      <c r="Q39" s="11"/>
      <c r="R39" s="11"/>
      <c r="S39" s="11"/>
      <c r="T39" s="11"/>
      <c r="U39" s="11"/>
      <c r="V39" s="11"/>
      <c r="W39" s="11"/>
      <c r="X39" s="11"/>
    </row>
    <row r="40" spans="2:66" ht="20.100000000000001" customHeight="1" x14ac:dyDescent="0.2">
      <c r="B40" s="133" t="s">
        <v>26</v>
      </c>
      <c r="C40" s="129" t="str">
        <f>IF(AI16="","",FIXED(AI16,2))</f>
        <v>136.00</v>
      </c>
      <c r="D40" s="130"/>
      <c r="E40" s="11"/>
      <c r="F40" s="11"/>
      <c r="G40" s="11"/>
      <c r="H40" s="11"/>
      <c r="I40" s="11"/>
      <c r="J40" s="11"/>
      <c r="K40" s="11"/>
      <c r="L40" s="11"/>
      <c r="M40" s="11"/>
      <c r="N40" s="11"/>
      <c r="O40" s="11"/>
      <c r="P40" s="11"/>
      <c r="Q40" s="11"/>
      <c r="R40" s="11"/>
      <c r="S40" s="11"/>
      <c r="T40" s="11"/>
      <c r="U40" s="11"/>
      <c r="V40" s="11"/>
      <c r="W40" s="11"/>
      <c r="X40" s="11"/>
    </row>
    <row r="41" spans="2:66" ht="20.100000000000001" customHeight="1" x14ac:dyDescent="0.2">
      <c r="B41" s="130"/>
      <c r="C41" s="130"/>
      <c r="D41" s="129" t="str">
        <f>IF(AJ17="","",FIXED(AJ17,2))</f>
        <v>12.00</v>
      </c>
      <c r="E41" s="11"/>
      <c r="F41" s="11"/>
      <c r="G41" s="11"/>
      <c r="H41" s="11"/>
      <c r="I41" s="11"/>
      <c r="J41" s="11"/>
      <c r="K41" s="11"/>
      <c r="L41" s="11"/>
      <c r="M41" s="11"/>
      <c r="N41" s="11"/>
      <c r="O41" s="11"/>
      <c r="P41" s="11"/>
      <c r="Q41" s="11"/>
      <c r="R41" s="11"/>
      <c r="S41" s="11"/>
      <c r="T41" s="11"/>
      <c r="U41" s="11"/>
      <c r="V41" s="11"/>
      <c r="W41" s="11"/>
      <c r="X41" s="11"/>
    </row>
    <row r="42" spans="2:66" ht="20.100000000000001" customHeight="1" x14ac:dyDescent="0.2">
      <c r="B42" s="133" t="s">
        <v>25</v>
      </c>
      <c r="C42" s="129" t="str">
        <f>IF(AI18="","",FIXED(AI18,2))</f>
        <v>124.00</v>
      </c>
      <c r="D42" s="130"/>
      <c r="E42" s="11"/>
      <c r="F42" s="11"/>
      <c r="G42" s="11"/>
      <c r="H42" s="11"/>
      <c r="I42" s="11"/>
      <c r="J42" s="11"/>
      <c r="K42" s="11"/>
      <c r="L42" s="11"/>
      <c r="M42" s="11"/>
      <c r="N42" s="11"/>
      <c r="O42" s="11"/>
      <c r="P42" s="11"/>
      <c r="Q42" s="11"/>
      <c r="R42" s="11"/>
      <c r="S42" s="11"/>
      <c r="T42" s="11"/>
      <c r="U42" s="11"/>
      <c r="V42" s="11"/>
      <c r="W42" s="11"/>
      <c r="X42" s="11"/>
    </row>
    <row r="43" spans="2:66" ht="20.100000000000001" customHeight="1" x14ac:dyDescent="0.2">
      <c r="B43" s="130"/>
      <c r="C43" s="130"/>
      <c r="D43" s="129" t="str">
        <f>IF(AJ19="","",FIXED(AJ19,2))</f>
        <v>4.00</v>
      </c>
      <c r="E43" s="11"/>
      <c r="F43" s="11"/>
      <c r="G43" s="11"/>
      <c r="H43" s="11"/>
      <c r="I43" s="11"/>
      <c r="J43" s="11"/>
      <c r="K43" s="11"/>
      <c r="L43" s="11"/>
      <c r="M43" s="11"/>
      <c r="N43" s="11"/>
      <c r="O43" s="11"/>
      <c r="P43" s="11"/>
      <c r="Q43" s="11"/>
      <c r="R43" s="11"/>
      <c r="S43" s="11"/>
      <c r="T43" s="11"/>
      <c r="U43" s="11"/>
      <c r="V43" s="11"/>
      <c r="W43" s="11"/>
      <c r="X43" s="11"/>
    </row>
    <row r="44" spans="2:66" ht="20.100000000000001" customHeight="1" x14ac:dyDescent="0.2">
      <c r="B44" s="133" t="s">
        <v>117</v>
      </c>
      <c r="C44" s="129" t="str">
        <f>IF(AI20="","",FIXED(AI20,2))</f>
        <v>120.00</v>
      </c>
      <c r="D44" s="130"/>
      <c r="E44" s="11"/>
      <c r="F44" s="11"/>
      <c r="G44" s="11"/>
      <c r="H44" s="11"/>
      <c r="I44" s="11"/>
      <c r="J44" s="11"/>
      <c r="K44" s="11"/>
      <c r="L44" s="11"/>
      <c r="M44" s="11"/>
      <c r="N44" s="11"/>
      <c r="O44" s="11"/>
      <c r="P44" s="11"/>
      <c r="Q44" s="11"/>
      <c r="R44" s="11"/>
      <c r="S44" s="11"/>
      <c r="T44" s="11"/>
      <c r="U44" s="11"/>
      <c r="V44" s="11"/>
      <c r="W44" s="11"/>
      <c r="X44" s="11"/>
    </row>
    <row r="45" spans="2:66" ht="20.100000000000001" customHeight="1" x14ac:dyDescent="0.2">
      <c r="B45" s="130"/>
      <c r="C45" s="130"/>
      <c r="D45" s="19"/>
      <c r="E45" s="11"/>
      <c r="F45" s="11"/>
      <c r="G45" s="11"/>
      <c r="H45" s="11"/>
      <c r="I45" s="11"/>
      <c r="J45" s="11"/>
      <c r="K45" s="11"/>
      <c r="L45" s="11"/>
      <c r="M45" s="11"/>
      <c r="N45" s="11"/>
      <c r="O45" s="11"/>
      <c r="P45" s="11"/>
      <c r="Q45" s="11"/>
      <c r="R45" s="11"/>
      <c r="S45" s="11"/>
      <c r="T45" s="11"/>
      <c r="U45" s="11"/>
      <c r="V45" s="11"/>
      <c r="W45" s="11"/>
      <c r="X45" s="11"/>
    </row>
    <row r="46" spans="2:66" ht="12.75" customHeight="1" x14ac:dyDescent="0.2">
      <c r="B46" s="6"/>
      <c r="C46" s="6"/>
      <c r="D46" s="2" t="s">
        <v>345</v>
      </c>
      <c r="E46" s="83" t="str">
        <f>IF(AK49="",E31,CONCATENATE(E31," (",FIXED(AK49,2),")"))</f>
        <v>A (5.00)</v>
      </c>
      <c r="F46" s="84"/>
      <c r="G46" s="83" t="str">
        <f>IF(AM49="",G31,CONCATENATE(G31," (",FIXED(AM49,2),")"))</f>
        <v>B (13.00)</v>
      </c>
      <c r="H46" s="84"/>
      <c r="I46" s="83" t="str">
        <f>IF(AO49="",I31,CONCATENATE(I31," (",FIXED(AO49,2),")"))</f>
        <v>C (17.00)</v>
      </c>
      <c r="J46" s="84"/>
      <c r="K46" s="83" t="str">
        <f>IF(AQ49="",K31,CONCATENATE(K31," (",FIXED(AQ49,2),")"))</f>
        <v>D (19.00)</v>
      </c>
      <c r="L46" s="84"/>
      <c r="M46" s="83" t="str">
        <f>IF(AS49="",M31,CONCATENATE(M31," (",FIXED(AS49,2),")"))</f>
        <v>E (21.00)</v>
      </c>
      <c r="N46" s="84"/>
      <c r="O46" s="83" t="str">
        <f>IF(AU49="",O31,CONCATENATE(O31," (",FIXED(AU49,2),")"))</f>
        <v>F (25.00)</v>
      </c>
      <c r="P46" s="84"/>
      <c r="Q46" s="83" t="str">
        <f>IF(AW49="",Q31,CONCATENATE(Q31," (",FIXED(AW49,2),")"))</f>
        <v>G (29.00)</v>
      </c>
      <c r="R46" s="84"/>
      <c r="S46" s="83" t="str">
        <f>IF(AY49="",S31,CONCATENATE(S31," (",FIXED(AY49,2),")"))</f>
        <v>H (37.00)</v>
      </c>
      <c r="T46" s="84"/>
      <c r="U46" s="83" t="str">
        <f>IF(BA49="",U31,CONCATENATE(U31," (",FIXED(BA49,2),")"))</f>
        <v>I</v>
      </c>
      <c r="V46" s="84"/>
      <c r="W46" s="83" t="str">
        <f>IF(BC49="",W31,CONCATENATE(W31," (",FIXED(BC49,2),")"))</f>
        <v>J</v>
      </c>
      <c r="X46" s="84"/>
      <c r="Y46" s="83" t="str">
        <f>IF(BE49="",Y31,CONCATENATE(Y31," (",FIXED(BE49,2),")"))</f>
        <v>K</v>
      </c>
      <c r="Z46" s="84"/>
      <c r="AA46" s="83" t="str">
        <f>IF(BG49="",AA31,CONCATENATE(AA31," (",FIXED(BG49,2),")"))</f>
        <v>L</v>
      </c>
      <c r="AB46" s="84"/>
      <c r="AC46" s="83" t="str">
        <f>IF(BI49="",AC31,CONCATENATE(AC31," (",FIXED(BI49,2),")"))</f>
        <v>M</v>
      </c>
      <c r="AD46" s="84"/>
      <c r="AE46" s="83" t="str">
        <f>IF(BK49="",AE31,CONCATENATE(AE31," (",FIXED(BK49,2),")"))</f>
        <v>N</v>
      </c>
      <c r="AF46" s="84"/>
      <c r="AJ46" s="23" t="s">
        <v>121</v>
      </c>
      <c r="AK46" s="83" t="s">
        <v>6</v>
      </c>
      <c r="AL46" s="98"/>
      <c r="AM46" s="83" t="s">
        <v>7</v>
      </c>
      <c r="AN46" s="98"/>
      <c r="AO46" s="83" t="s">
        <v>8</v>
      </c>
      <c r="AP46" s="98"/>
      <c r="AQ46" s="83" t="s">
        <v>9</v>
      </c>
      <c r="AR46" s="98"/>
      <c r="AS46" s="83" t="s">
        <v>10</v>
      </c>
      <c r="AT46" s="98"/>
      <c r="AU46" s="83" t="s">
        <v>11</v>
      </c>
      <c r="AV46" s="98"/>
      <c r="AW46" s="83" t="s">
        <v>12</v>
      </c>
      <c r="AX46" s="98"/>
      <c r="AY46" s="83" t="s">
        <v>13</v>
      </c>
      <c r="AZ46" s="98"/>
      <c r="BA46" s="83" t="s">
        <v>14</v>
      </c>
      <c r="BB46" s="98"/>
      <c r="BC46" s="83" t="s">
        <v>126</v>
      </c>
      <c r="BD46" s="98"/>
      <c r="BE46" s="83" t="s">
        <v>6</v>
      </c>
      <c r="BF46" s="98"/>
      <c r="BG46" s="83" t="s">
        <v>7</v>
      </c>
      <c r="BH46" s="98"/>
      <c r="BI46" s="83" t="s">
        <v>8</v>
      </c>
      <c r="BJ46" s="98"/>
      <c r="BK46" s="83" t="s">
        <v>9</v>
      </c>
      <c r="BL46" s="98"/>
      <c r="BM46" s="83" t="s">
        <v>10</v>
      </c>
      <c r="BN46" s="98"/>
    </row>
    <row r="47" spans="2:66" ht="12.75" customHeight="1" x14ac:dyDescent="0.2">
      <c r="B47" s="6"/>
      <c r="C47" s="6"/>
      <c r="D47" s="2" t="s">
        <v>384</v>
      </c>
      <c r="E47" s="91" t="s">
        <v>363</v>
      </c>
      <c r="F47" s="92"/>
      <c r="G47" s="91" t="s">
        <v>515</v>
      </c>
      <c r="H47" s="92"/>
      <c r="I47" s="91" t="s">
        <v>362</v>
      </c>
      <c r="J47" s="92"/>
      <c r="K47" s="91" t="s">
        <v>515</v>
      </c>
      <c r="L47" s="92"/>
      <c r="M47" s="91" t="s">
        <v>515</v>
      </c>
      <c r="N47" s="92"/>
      <c r="O47" s="91" t="s">
        <v>362</v>
      </c>
      <c r="P47" s="92"/>
      <c r="Q47" s="91" t="s">
        <v>515</v>
      </c>
      <c r="R47" s="92"/>
      <c r="S47" s="91" t="s">
        <v>363</v>
      </c>
      <c r="T47" s="92"/>
      <c r="U47" s="91"/>
      <c r="V47" s="92"/>
      <c r="W47" s="91"/>
      <c r="X47" s="92"/>
      <c r="Y47" s="91"/>
      <c r="Z47" s="92"/>
      <c r="AA47" s="91" t="s">
        <v>385</v>
      </c>
      <c r="AB47" s="92"/>
      <c r="AC47" s="91" t="s">
        <v>385</v>
      </c>
      <c r="AD47" s="92"/>
      <c r="AE47" s="91" t="s">
        <v>385</v>
      </c>
      <c r="AF47" s="92"/>
      <c r="AJ47" s="24" t="s">
        <v>124</v>
      </c>
      <c r="AK47" s="86" t="str">
        <f>IF(E47="","",E47)</f>
        <v>HE800B</v>
      </c>
      <c r="AL47" s="84"/>
      <c r="AM47" s="86" t="str">
        <f>IF(G47="","",G47)</f>
        <v>No_Beam</v>
      </c>
      <c r="AN47" s="84"/>
      <c r="AO47" s="86" t="str">
        <f>IF(I47="","",I47)</f>
        <v>HE600B</v>
      </c>
      <c r="AP47" s="84"/>
      <c r="AQ47" s="86" t="str">
        <f>IF(K47="","",K47)</f>
        <v>No_Beam</v>
      </c>
      <c r="AR47" s="84"/>
      <c r="AS47" s="86" t="str">
        <f>IF(M47="","",M47)</f>
        <v>No_Beam</v>
      </c>
      <c r="AT47" s="84"/>
      <c r="AU47" s="86" t="str">
        <f>IF(O47="","",O47)</f>
        <v>HE600B</v>
      </c>
      <c r="AV47" s="84"/>
      <c r="AW47" s="86" t="str">
        <f>IF(Q47="","",Q47)</f>
        <v>No_Beam</v>
      </c>
      <c r="AX47" s="84"/>
      <c r="AY47" s="86" t="str">
        <f>IF(S47="","",S47)</f>
        <v>HE800B</v>
      </c>
      <c r="AZ47" s="84"/>
      <c r="BA47" s="86" t="str">
        <f>IF(U47="","",U47)</f>
        <v/>
      </c>
      <c r="BB47" s="84"/>
      <c r="BC47" s="86" t="str">
        <f>IF(W47="","",W47)</f>
        <v/>
      </c>
      <c r="BD47" s="84"/>
      <c r="BE47" s="86" t="str">
        <f>IF(Y47="","",Y47)</f>
        <v/>
      </c>
      <c r="BF47" s="84"/>
      <c r="BG47" s="86" t="str">
        <f>IF(AA47="","",AA47)</f>
        <v/>
      </c>
      <c r="BH47" s="84"/>
      <c r="BI47" s="86" t="str">
        <f>IF(AC47="","",AC47)</f>
        <v/>
      </c>
      <c r="BJ47" s="84"/>
      <c r="BK47" s="86" t="str">
        <f>IF(AE47="","",AE47)</f>
        <v/>
      </c>
      <c r="BL47" s="84"/>
      <c r="BM47" s="86" t="str">
        <f>IF(AG47="","",AG47)</f>
        <v/>
      </c>
      <c r="BN47" s="84"/>
    </row>
    <row r="48" spans="2:66" ht="12.75" customHeight="1" x14ac:dyDescent="0.2">
      <c r="D48" s="28" t="s">
        <v>457</v>
      </c>
      <c r="E48" s="91" t="s">
        <v>457</v>
      </c>
      <c r="F48" s="92"/>
      <c r="G48" s="91" t="s">
        <v>457</v>
      </c>
      <c r="H48" s="92"/>
      <c r="I48" s="91" t="s">
        <v>457</v>
      </c>
      <c r="J48" s="92"/>
      <c r="K48" s="91" t="s">
        <v>459</v>
      </c>
      <c r="L48" s="92"/>
      <c r="M48" s="91" t="s">
        <v>459</v>
      </c>
      <c r="N48" s="92"/>
      <c r="O48" s="91" t="s">
        <v>457</v>
      </c>
      <c r="P48" s="92"/>
      <c r="Q48" s="91" t="s">
        <v>457</v>
      </c>
      <c r="R48" s="92"/>
      <c r="S48" s="91" t="s">
        <v>457</v>
      </c>
      <c r="T48" s="92"/>
      <c r="U48" s="91"/>
      <c r="V48" s="92"/>
      <c r="W48" s="91"/>
      <c r="X48" s="92"/>
      <c r="Y48" s="91"/>
      <c r="Z48" s="92"/>
      <c r="AA48" s="91" t="s">
        <v>385</v>
      </c>
      <c r="AB48" s="92"/>
      <c r="AC48" s="91" t="s">
        <v>385</v>
      </c>
      <c r="AD48" s="92"/>
      <c r="AE48" s="91" t="s">
        <v>385</v>
      </c>
      <c r="AF48" s="92"/>
      <c r="AJ48" s="24" t="s">
        <v>457</v>
      </c>
      <c r="AK48" s="86" t="str">
        <f>IF(E48="","",E48)</f>
        <v>Column</v>
      </c>
      <c r="AL48" s="84"/>
      <c r="AM48" s="86" t="str">
        <f>IF(G48="","",G48)</f>
        <v>Column</v>
      </c>
      <c r="AN48" s="84"/>
      <c r="AO48" s="86" t="str">
        <f>IF(I48="","",I48)</f>
        <v>Column</v>
      </c>
      <c r="AP48" s="84"/>
      <c r="AQ48" s="86" t="str">
        <f>IF(K48="","",K48)</f>
        <v>No_Col</v>
      </c>
      <c r="AR48" s="84"/>
      <c r="AS48" s="86" t="str">
        <f>IF(M48="","",M48)</f>
        <v>No_Col</v>
      </c>
      <c r="AT48" s="84"/>
      <c r="AU48" s="86" t="str">
        <f>IF(O48="","",O48)</f>
        <v>Column</v>
      </c>
      <c r="AV48" s="84"/>
      <c r="AW48" s="86" t="str">
        <f>IF(Q48="","",Q48)</f>
        <v>Column</v>
      </c>
      <c r="AX48" s="84"/>
      <c r="AY48" s="86" t="str">
        <f>IF(S48="","",S48)</f>
        <v>Column</v>
      </c>
      <c r="AZ48" s="84"/>
      <c r="BA48" s="86" t="str">
        <f>IF(U48="","",U48)</f>
        <v/>
      </c>
      <c r="BB48" s="84"/>
      <c r="BC48" s="86" t="str">
        <f>IF(W48="","",W48)</f>
        <v/>
      </c>
      <c r="BD48" s="84"/>
      <c r="BE48" s="86" t="str">
        <f>IF(Y48="","",Y48)</f>
        <v/>
      </c>
      <c r="BF48" s="84"/>
      <c r="BG48" s="86" t="str">
        <f>IF(AA48="","",AA48)</f>
        <v/>
      </c>
      <c r="BH48" s="84"/>
      <c r="BI48" s="86" t="str">
        <f>IF(AC48="","",AC48)</f>
        <v/>
      </c>
      <c r="BJ48" s="84"/>
      <c r="BK48" s="86" t="str">
        <f>IF(AE48="","",AE48)</f>
        <v/>
      </c>
      <c r="BL48" s="84"/>
      <c r="BM48" s="86" t="str">
        <f>IF(AG48="","",AG48)</f>
        <v/>
      </c>
      <c r="BN48" s="84"/>
    </row>
    <row r="49" spans="2:66" ht="12.75" customHeight="1" x14ac:dyDescent="0.2">
      <c r="B49" s="6"/>
      <c r="C49" s="6"/>
      <c r="D49" s="28" t="s">
        <v>125</v>
      </c>
      <c r="E49" s="91">
        <v>5</v>
      </c>
      <c r="F49" s="92"/>
      <c r="G49" s="91"/>
      <c r="H49" s="92"/>
      <c r="I49" s="91"/>
      <c r="J49" s="92"/>
      <c r="K49" s="91"/>
      <c r="L49" s="92"/>
      <c r="M49" s="91"/>
      <c r="N49" s="92"/>
      <c r="O49" s="91"/>
      <c r="P49" s="92"/>
      <c r="Q49" s="91"/>
      <c r="R49" s="92"/>
      <c r="S49" s="91"/>
      <c r="T49" s="92"/>
      <c r="U49" s="91"/>
      <c r="V49" s="92"/>
      <c r="W49" s="91"/>
      <c r="X49" s="92"/>
      <c r="Y49" s="91"/>
      <c r="Z49" s="92"/>
      <c r="AA49" s="91"/>
      <c r="AB49" s="92"/>
      <c r="AC49" s="91"/>
      <c r="AD49" s="92"/>
      <c r="AE49" s="91"/>
      <c r="AF49" s="92"/>
      <c r="AJ49" s="24" t="s">
        <v>120</v>
      </c>
      <c r="AK49" s="111">
        <f>E49</f>
        <v>5</v>
      </c>
      <c r="AL49" s="84"/>
      <c r="AM49" s="86">
        <f>IF(G49="",IF(F50="","",AK49+F50),G49)</f>
        <v>13</v>
      </c>
      <c r="AN49" s="84"/>
      <c r="AO49" s="86">
        <f>IF(I49="",IF(H50="","",AM49+H50),I49)</f>
        <v>17</v>
      </c>
      <c r="AP49" s="84"/>
      <c r="AQ49" s="86">
        <f>IF(K49="",IF(J50="","",AO49+J50),K49)</f>
        <v>19</v>
      </c>
      <c r="AR49" s="84"/>
      <c r="AS49" s="86">
        <f>IF(M49="",IF(L50="","",AQ49+L50),M49)</f>
        <v>21</v>
      </c>
      <c r="AT49" s="84"/>
      <c r="AU49" s="86">
        <f>IF(O49="",IF(N50="","",AS49+N50),O49)</f>
        <v>25</v>
      </c>
      <c r="AV49" s="84"/>
      <c r="AW49" s="86">
        <f>IF(Q49="",IF(P50="","",AU49+P50),Q49)</f>
        <v>29</v>
      </c>
      <c r="AX49" s="84"/>
      <c r="AY49" s="86">
        <f>IF(S49="",IF(R50="","",AW49+R50),S49)</f>
        <v>37</v>
      </c>
      <c r="AZ49" s="84"/>
      <c r="BA49" s="86" t="str">
        <f>IF(U49="",IF(T50="","",AY49+T50),U49)</f>
        <v/>
      </c>
      <c r="BB49" s="84"/>
      <c r="BC49" s="86" t="str">
        <f>IF(W49="",IF(V50="","",BA49+V50),W49)</f>
        <v/>
      </c>
      <c r="BD49" s="84"/>
      <c r="BE49" s="86" t="str">
        <f>IF(Y49="",IF(X50="","",BC49+X50),Y49)</f>
        <v/>
      </c>
      <c r="BF49" s="84"/>
      <c r="BG49" s="86" t="str">
        <f>IF(AA49="",IF(Z50="","",BE49+Z50),AA49)</f>
        <v/>
      </c>
      <c r="BH49" s="84"/>
      <c r="BI49" s="86" t="str">
        <f>IF(AC49="",IF(AB50="","",BG49+AB50),AC49)</f>
        <v/>
      </c>
      <c r="BJ49" s="84"/>
      <c r="BK49" s="86" t="str">
        <f>IF(AE49="",IF(AD50="","",BI49+AD50),AE49)</f>
        <v/>
      </c>
      <c r="BL49" s="84"/>
      <c r="BM49" s="86" t="str">
        <f>IF(AG49="",IF(AF50="","",BK49+AF50),AG49)</f>
        <v/>
      </c>
      <c r="BN49" s="84"/>
    </row>
    <row r="50" spans="2:66" ht="12.75" customHeight="1" x14ac:dyDescent="0.2">
      <c r="B50" s="6"/>
      <c r="C50" s="6"/>
      <c r="D50" s="22" t="s">
        <v>118</v>
      </c>
      <c r="E50" s="21"/>
      <c r="F50" s="91">
        <v>8</v>
      </c>
      <c r="G50" s="92"/>
      <c r="H50" s="91">
        <v>4</v>
      </c>
      <c r="I50" s="92"/>
      <c r="J50" s="91">
        <v>2</v>
      </c>
      <c r="K50" s="92"/>
      <c r="L50" s="91">
        <v>2</v>
      </c>
      <c r="M50" s="92"/>
      <c r="N50" s="91">
        <v>4</v>
      </c>
      <c r="O50" s="92"/>
      <c r="P50" s="91">
        <v>4</v>
      </c>
      <c r="Q50" s="92"/>
      <c r="R50" s="91">
        <v>8</v>
      </c>
      <c r="S50" s="92"/>
      <c r="T50" s="91"/>
      <c r="U50" s="92"/>
      <c r="V50" s="91"/>
      <c r="W50" s="92"/>
      <c r="X50" s="91"/>
      <c r="Y50" s="92"/>
      <c r="Z50" s="91"/>
      <c r="AA50" s="92"/>
      <c r="AB50" s="91"/>
      <c r="AC50" s="92"/>
      <c r="AD50" s="91"/>
      <c r="AE50" s="92"/>
      <c r="AF50" s="2"/>
      <c r="AJ50" s="22" t="s">
        <v>118</v>
      </c>
      <c r="AK50" s="2"/>
      <c r="AL50" s="86">
        <f>IF(G49="",IF(F50="","",F50),AM49-AK49)</f>
        <v>8</v>
      </c>
      <c r="AM50" s="87"/>
      <c r="AN50" s="86">
        <f>IF(I49="",IF(H50="","",H50),AO49-AM49)</f>
        <v>4</v>
      </c>
      <c r="AO50" s="87"/>
      <c r="AP50" s="86">
        <f>IF(K49="",IF(J50="","",J50),AQ49-AO49)</f>
        <v>2</v>
      </c>
      <c r="AQ50" s="87"/>
      <c r="AR50" s="86">
        <f>IF(M49="",IF(L50="","",L50),AS49-AQ49)</f>
        <v>2</v>
      </c>
      <c r="AS50" s="87"/>
      <c r="AT50" s="86">
        <f>IF(O49="",IF(N50="","",N50),AU49-AS49)</f>
        <v>4</v>
      </c>
      <c r="AU50" s="87"/>
      <c r="AV50" s="86">
        <f>IF(Q49="",IF(P50="","",P50),AW49-AU49)</f>
        <v>4</v>
      </c>
      <c r="AW50" s="87"/>
      <c r="AX50" s="86">
        <f>IF(S49="",IF(R50="","",R50),AY49-AW49)</f>
        <v>8</v>
      </c>
      <c r="AY50" s="87"/>
      <c r="AZ50" s="86" t="str">
        <f>IF(U49="",IF(T50="","",T50),BA49-AY49)</f>
        <v/>
      </c>
      <c r="BA50" s="87"/>
      <c r="BB50" s="86" t="str">
        <f>IF(W49="",IF(V50="","",V50),BC49-BA49)</f>
        <v/>
      </c>
      <c r="BC50" s="87"/>
      <c r="BD50" s="86" t="str">
        <f>IF(Y49="",IF(X50="","",X50),BE49-BC49)</f>
        <v/>
      </c>
      <c r="BE50" s="87"/>
      <c r="BF50" s="86" t="str">
        <f>IF(AA49="",IF(Z50="","",Z50),BG49-BE49)</f>
        <v/>
      </c>
      <c r="BG50" s="87"/>
      <c r="BH50" s="86" t="str">
        <f>IF(AC49="",IF(AB50="","",AB50),BI49-BG49)</f>
        <v/>
      </c>
      <c r="BI50" s="87"/>
      <c r="BJ50" s="86" t="str">
        <f>IF(AE49="",IF(AD50="","",AD50),BK49-BI49)</f>
        <v/>
      </c>
      <c r="BK50" s="87"/>
      <c r="BL50" s="86" t="str">
        <f>IF(AG49="",IF(AF50="","",AF50),BM49-BK49)</f>
        <v/>
      </c>
      <c r="BM50" s="87"/>
      <c r="BN50" s="19"/>
    </row>
    <row r="51" spans="2:66" ht="12.75" customHeight="1" x14ac:dyDescent="0.2">
      <c r="D51" s="22" t="s">
        <v>4</v>
      </c>
      <c r="E51" s="21"/>
      <c r="F51" s="108" t="s">
        <v>1</v>
      </c>
      <c r="G51" s="114"/>
      <c r="H51" s="108" t="s">
        <v>0</v>
      </c>
      <c r="I51" s="114"/>
      <c r="J51" s="108" t="s">
        <v>1</v>
      </c>
      <c r="K51" s="114"/>
      <c r="L51" s="108" t="s">
        <v>1</v>
      </c>
      <c r="M51" s="114"/>
      <c r="N51" s="108" t="s">
        <v>1</v>
      </c>
      <c r="O51" s="114"/>
      <c r="P51" s="108" t="s">
        <v>2</v>
      </c>
      <c r="Q51" s="114"/>
      <c r="R51" s="108" t="s">
        <v>1</v>
      </c>
      <c r="S51" s="114"/>
      <c r="T51" s="108"/>
      <c r="U51" s="114"/>
      <c r="V51" s="108"/>
      <c r="W51" s="114"/>
      <c r="X51" s="108"/>
      <c r="Y51" s="114"/>
      <c r="Z51" s="108"/>
      <c r="AA51" s="92"/>
      <c r="AB51" s="108"/>
      <c r="AC51" s="92"/>
      <c r="AD51" s="108"/>
      <c r="AE51" s="92"/>
      <c r="AF51" s="2"/>
    </row>
    <row r="52" spans="2:66" ht="12.75" customHeight="1" x14ac:dyDescent="0.2">
      <c r="H52" s="4"/>
      <c r="I52" s="4"/>
      <c r="J52" s="4"/>
      <c r="K52" s="4"/>
      <c r="L52" s="4"/>
      <c r="M52" s="4"/>
      <c r="N52" s="4"/>
      <c r="O52" s="4"/>
      <c r="P52" s="4"/>
      <c r="Q52" s="4"/>
      <c r="R52" s="4"/>
      <c r="S52" s="4"/>
      <c r="T52" s="4"/>
      <c r="U52" s="4"/>
      <c r="V52" s="4"/>
      <c r="W52" s="4"/>
      <c r="X52" s="4"/>
      <c r="Y52" s="4"/>
      <c r="Z52" s="4"/>
      <c r="AA52" s="4"/>
      <c r="AB52" s="4"/>
      <c r="AC52" s="4"/>
    </row>
    <row r="53" spans="2:66" ht="12.75" customHeight="1" x14ac:dyDescent="0.2">
      <c r="H53" s="4"/>
      <c r="I53" s="4"/>
      <c r="J53" s="4"/>
      <c r="K53" s="4"/>
      <c r="L53" s="4"/>
      <c r="M53" s="4"/>
      <c r="N53" s="4"/>
      <c r="O53" s="4"/>
      <c r="P53" s="4"/>
      <c r="Q53" s="4"/>
      <c r="R53" s="4"/>
      <c r="S53" s="4"/>
      <c r="T53" s="4"/>
      <c r="U53" s="4"/>
      <c r="V53" s="4"/>
      <c r="W53" s="4"/>
      <c r="X53" s="4"/>
      <c r="Y53" s="4"/>
      <c r="Z53" s="4"/>
      <c r="AA53" s="4"/>
      <c r="AB53" s="4"/>
      <c r="AC53" s="4"/>
    </row>
    <row r="54" spans="2:66" ht="12.75" customHeight="1" thickBot="1" x14ac:dyDescent="0.25">
      <c r="B54" s="119" t="s">
        <v>76</v>
      </c>
      <c r="C54" s="123"/>
      <c r="D54" s="119"/>
      <c r="E54" s="123"/>
      <c r="F54" s="123"/>
      <c r="H54" s="4"/>
      <c r="I54" s="4"/>
      <c r="J54" s="4"/>
      <c r="K54" s="4"/>
      <c r="L54" s="4"/>
      <c r="M54" s="4"/>
      <c r="N54" s="4"/>
      <c r="O54" s="4"/>
      <c r="P54" s="4"/>
      <c r="Q54" s="4"/>
      <c r="R54" s="4"/>
      <c r="S54" s="4"/>
      <c r="T54" s="4"/>
      <c r="U54" s="4"/>
      <c r="V54" s="4"/>
      <c r="W54" s="4"/>
      <c r="X54" s="4"/>
      <c r="Y54" s="4"/>
      <c r="Z54" s="4"/>
      <c r="AA54" s="4"/>
      <c r="AB54" s="4"/>
      <c r="AC54" s="4"/>
    </row>
    <row r="55" spans="2:66" ht="12.75" customHeight="1" x14ac:dyDescent="0.2">
      <c r="B55" s="124" t="s">
        <v>73</v>
      </c>
      <c r="C55" s="125"/>
      <c r="D55" s="109" t="s">
        <v>373</v>
      </c>
      <c r="E55" s="110"/>
      <c r="F55" s="110"/>
      <c r="H55" s="4"/>
      <c r="I55" s="4"/>
      <c r="J55" s="4"/>
      <c r="K55" s="4"/>
      <c r="L55" s="4"/>
      <c r="M55" s="4"/>
      <c r="N55" s="4"/>
      <c r="O55" s="4"/>
      <c r="P55" s="4"/>
      <c r="Q55" s="4"/>
      <c r="R55" s="4"/>
      <c r="S55" s="4"/>
      <c r="T55" s="4"/>
      <c r="U55" s="4"/>
      <c r="V55" s="4"/>
      <c r="W55" s="4"/>
      <c r="X55" s="4"/>
      <c r="Y55" s="4"/>
      <c r="Z55" s="4"/>
      <c r="AA55" s="4"/>
      <c r="AB55" s="4"/>
      <c r="AC55" s="4"/>
    </row>
    <row r="56" spans="2:66" ht="12.75" customHeight="1" x14ac:dyDescent="0.2">
      <c r="B56" s="121"/>
      <c r="C56" s="122"/>
      <c r="D56" s="96"/>
      <c r="E56" s="97"/>
      <c r="F56" s="97"/>
      <c r="H56" s="4"/>
      <c r="I56" s="4"/>
      <c r="J56" s="4"/>
      <c r="K56" s="4"/>
      <c r="L56" s="4"/>
      <c r="M56" s="4"/>
      <c r="N56" s="4"/>
      <c r="O56" s="4"/>
      <c r="P56" s="4"/>
      <c r="Q56" s="4"/>
      <c r="R56" s="4"/>
      <c r="S56" s="4"/>
      <c r="T56" s="4"/>
      <c r="U56" s="4"/>
      <c r="V56" s="4"/>
      <c r="W56" s="4"/>
      <c r="X56" s="4"/>
      <c r="Y56" s="4"/>
      <c r="Z56" s="4"/>
      <c r="AA56" s="4"/>
      <c r="AB56" s="4"/>
      <c r="AC56" s="4"/>
    </row>
    <row r="57" spans="2:66" x14ac:dyDescent="0.2">
      <c r="B57" s="121"/>
      <c r="C57" s="122"/>
      <c r="D57" s="96"/>
      <c r="E57" s="97"/>
      <c r="F57" s="97"/>
      <c r="H57" s="4"/>
      <c r="I57" s="4"/>
      <c r="J57" s="4"/>
      <c r="K57" s="4"/>
      <c r="L57" s="4"/>
      <c r="M57" s="4"/>
      <c r="N57" s="4"/>
      <c r="O57" s="4"/>
      <c r="P57" s="4"/>
      <c r="Q57" s="4"/>
      <c r="R57" s="4"/>
      <c r="S57" s="4"/>
      <c r="T57" s="4"/>
      <c r="U57" s="4"/>
      <c r="V57" s="4"/>
      <c r="W57" s="4"/>
      <c r="X57" s="4"/>
      <c r="Y57" s="4"/>
      <c r="Z57" s="4"/>
      <c r="AA57" s="4"/>
      <c r="AB57" s="4"/>
      <c r="AC57" s="4"/>
    </row>
    <row r="58" spans="2:66" ht="13.5" thickBot="1" x14ac:dyDescent="0.25">
      <c r="B58" s="119" t="s">
        <v>74</v>
      </c>
      <c r="C58" s="123"/>
      <c r="D58" s="126"/>
      <c r="E58" s="127"/>
      <c r="F58" s="128"/>
      <c r="H58" s="4"/>
      <c r="I58" s="4"/>
      <c r="J58" s="4"/>
      <c r="K58" s="4"/>
      <c r="L58" s="4"/>
      <c r="M58" s="4"/>
      <c r="N58" s="4"/>
      <c r="O58" s="4"/>
      <c r="P58" s="4"/>
      <c r="Q58" s="4"/>
      <c r="R58" s="4"/>
      <c r="S58" s="4"/>
      <c r="T58" s="4"/>
      <c r="U58" s="4"/>
      <c r="V58" s="4"/>
      <c r="W58" s="4"/>
      <c r="X58" s="4"/>
      <c r="Y58" s="4"/>
      <c r="Z58" s="4"/>
      <c r="AA58" s="4"/>
      <c r="AB58" s="4"/>
      <c r="AC58" s="4"/>
    </row>
    <row r="59" spans="2:66" x14ac:dyDescent="0.2">
      <c r="B59" s="124" t="s">
        <v>500</v>
      </c>
      <c r="C59" s="125"/>
      <c r="D59" s="109" t="s">
        <v>363</v>
      </c>
      <c r="E59" s="110"/>
      <c r="F59" s="110"/>
      <c r="H59" s="4"/>
      <c r="I59" s="4"/>
      <c r="J59" s="4"/>
      <c r="K59" s="4"/>
      <c r="L59" s="4"/>
      <c r="M59" s="4"/>
      <c r="N59" s="4"/>
      <c r="O59" s="4"/>
      <c r="P59" s="4"/>
      <c r="Q59" s="4"/>
      <c r="R59" s="4"/>
      <c r="S59" s="4"/>
      <c r="T59" s="4"/>
      <c r="U59" s="4"/>
      <c r="V59" s="4"/>
      <c r="W59" s="4"/>
      <c r="X59" s="4"/>
      <c r="Y59" s="4"/>
      <c r="Z59" s="4"/>
      <c r="AA59" s="4"/>
      <c r="AB59" s="4"/>
      <c r="AC59" s="4"/>
    </row>
    <row r="60" spans="2:66" x14ac:dyDescent="0.2">
      <c r="B60" s="121" t="s">
        <v>75</v>
      </c>
      <c r="C60" s="122"/>
      <c r="D60" s="96" t="s">
        <v>361</v>
      </c>
      <c r="E60" s="97"/>
      <c r="F60" s="97"/>
      <c r="H60" s="4"/>
      <c r="I60" s="4"/>
      <c r="J60" s="4"/>
      <c r="K60" s="4"/>
      <c r="L60" s="4"/>
      <c r="M60" s="4"/>
      <c r="N60" s="4"/>
      <c r="O60" s="4"/>
      <c r="P60" s="4"/>
      <c r="Q60" s="4"/>
      <c r="R60" s="4"/>
      <c r="S60" s="4"/>
      <c r="T60" s="4"/>
      <c r="U60" s="4"/>
      <c r="V60" s="4"/>
      <c r="W60" s="4"/>
      <c r="X60" s="4"/>
      <c r="Y60" s="4"/>
      <c r="Z60" s="4"/>
      <c r="AA60" s="4"/>
      <c r="AB60" s="4"/>
      <c r="AC60" s="4"/>
    </row>
    <row r="61" spans="2:66" x14ac:dyDescent="0.2">
      <c r="B61" s="94"/>
      <c r="C61" s="95"/>
      <c r="D61" s="96"/>
      <c r="E61" s="97"/>
      <c r="F61" s="97"/>
      <c r="H61" s="4"/>
      <c r="I61" s="4"/>
      <c r="J61" s="4"/>
      <c r="K61" s="4"/>
      <c r="L61" s="4"/>
      <c r="M61" s="4"/>
      <c r="N61" s="4"/>
      <c r="O61" s="4"/>
      <c r="P61" s="4"/>
      <c r="Q61" s="4"/>
      <c r="R61" s="4"/>
      <c r="S61" s="4"/>
      <c r="T61" s="4"/>
      <c r="U61" s="4"/>
      <c r="V61" s="4"/>
      <c r="W61" s="4"/>
      <c r="X61" s="4"/>
      <c r="Y61" s="4"/>
      <c r="Z61" s="4"/>
      <c r="AA61" s="4"/>
      <c r="AB61" s="4"/>
      <c r="AC61" s="4"/>
    </row>
    <row r="62" spans="2:66" x14ac:dyDescent="0.2">
      <c r="B62" s="94"/>
      <c r="C62" s="95"/>
      <c r="D62" s="96"/>
      <c r="E62" s="97"/>
      <c r="F62" s="97"/>
      <c r="H62" s="4"/>
      <c r="I62" s="4"/>
      <c r="J62" s="4"/>
      <c r="K62" s="4"/>
      <c r="L62" s="4"/>
      <c r="M62" s="4"/>
      <c r="N62" s="4"/>
      <c r="O62" s="4"/>
      <c r="P62" s="4"/>
      <c r="Q62" s="4"/>
      <c r="R62" s="4"/>
      <c r="S62" s="4"/>
      <c r="T62" s="4"/>
      <c r="U62" s="4"/>
      <c r="V62" s="4"/>
      <c r="W62" s="4"/>
      <c r="X62" s="4"/>
      <c r="Y62" s="4"/>
      <c r="Z62" s="4"/>
      <c r="AA62" s="4"/>
      <c r="AB62" s="4"/>
      <c r="AC62" s="4"/>
    </row>
    <row r="63" spans="2:66" x14ac:dyDescent="0.2">
      <c r="B63" s="94"/>
      <c r="C63" s="95"/>
      <c r="D63" s="96"/>
      <c r="E63" s="97"/>
      <c r="F63" s="97"/>
      <c r="H63" s="4"/>
      <c r="I63" s="4"/>
      <c r="J63" s="4"/>
      <c r="K63" s="4"/>
      <c r="L63" s="4"/>
      <c r="M63" s="4"/>
      <c r="N63" s="4"/>
      <c r="O63" s="4"/>
      <c r="P63" s="4"/>
      <c r="Q63" s="4"/>
      <c r="R63" s="4"/>
      <c r="S63" s="4"/>
      <c r="T63" s="4"/>
      <c r="U63" s="4"/>
      <c r="V63" s="4"/>
      <c r="W63" s="4"/>
      <c r="X63" s="4"/>
      <c r="Y63" s="4"/>
      <c r="Z63" s="4"/>
      <c r="AA63" s="4"/>
      <c r="AB63" s="4"/>
      <c r="AC63" s="4"/>
    </row>
    <row r="64" spans="2:66" x14ac:dyDescent="0.2">
      <c r="B64" s="94"/>
      <c r="C64" s="95"/>
      <c r="D64" s="96"/>
      <c r="E64" s="97"/>
      <c r="F64" s="97"/>
      <c r="H64" s="4"/>
      <c r="I64" s="4"/>
      <c r="J64" s="4"/>
      <c r="K64" s="4"/>
      <c r="L64" s="4"/>
      <c r="M64" s="4"/>
      <c r="N64" s="4"/>
      <c r="O64" s="4"/>
      <c r="P64" s="4"/>
      <c r="Q64" s="4"/>
      <c r="R64" s="4"/>
      <c r="S64" s="4"/>
      <c r="T64" s="4"/>
      <c r="U64" s="4"/>
      <c r="V64" s="4"/>
      <c r="W64" s="4"/>
      <c r="X64" s="4"/>
      <c r="Y64" s="4"/>
      <c r="Z64" s="4"/>
      <c r="AA64" s="4"/>
      <c r="AB64" s="4"/>
      <c r="AC64" s="4"/>
    </row>
    <row r="65" spans="2:29" x14ac:dyDescent="0.2">
      <c r="B65" s="94"/>
      <c r="C65" s="95"/>
      <c r="D65" s="96"/>
      <c r="E65" s="97"/>
      <c r="F65" s="97"/>
      <c r="H65" s="4"/>
      <c r="I65" s="4"/>
      <c r="J65" s="4"/>
      <c r="K65" s="4"/>
      <c r="L65" s="4"/>
      <c r="M65" s="4"/>
      <c r="N65" s="4"/>
      <c r="O65" s="4"/>
      <c r="P65" s="4"/>
      <c r="Q65" s="4"/>
      <c r="R65" s="4"/>
      <c r="S65" s="4"/>
      <c r="T65" s="4"/>
      <c r="U65" s="4"/>
      <c r="V65" s="4"/>
      <c r="W65" s="4"/>
      <c r="X65" s="4"/>
      <c r="Y65" s="4"/>
      <c r="Z65" s="4"/>
      <c r="AA65" s="4"/>
      <c r="AB65" s="4"/>
      <c r="AC65" s="4"/>
    </row>
    <row r="66" spans="2:29" x14ac:dyDescent="0.2">
      <c r="B66" s="94"/>
      <c r="C66" s="95"/>
      <c r="D66" s="96"/>
      <c r="E66" s="97"/>
      <c r="F66" s="97"/>
      <c r="H66" s="4"/>
      <c r="I66" s="4"/>
      <c r="J66" s="4"/>
      <c r="K66" s="4"/>
      <c r="L66" s="4"/>
      <c r="M66" s="4"/>
      <c r="N66" s="4"/>
      <c r="O66" s="4"/>
      <c r="P66" s="4"/>
      <c r="Q66" s="4"/>
      <c r="R66" s="4"/>
      <c r="S66" s="4"/>
      <c r="T66" s="4"/>
      <c r="U66" s="4"/>
      <c r="V66" s="4"/>
      <c r="W66" s="4"/>
      <c r="X66" s="4"/>
      <c r="Y66" s="4"/>
      <c r="Z66" s="4"/>
      <c r="AA66" s="4"/>
      <c r="AB66" s="4"/>
      <c r="AC66" s="4"/>
    </row>
    <row r="67" spans="2:29" x14ac:dyDescent="0.2">
      <c r="B67" s="94"/>
      <c r="C67" s="95"/>
      <c r="D67" s="96"/>
      <c r="E67" s="97"/>
      <c r="F67" s="97"/>
      <c r="H67" s="4"/>
      <c r="I67" s="72"/>
      <c r="J67" s="72"/>
      <c r="K67" s="72"/>
      <c r="L67" s="72"/>
      <c r="M67" s="72"/>
      <c r="N67" s="72"/>
      <c r="O67" s="72"/>
      <c r="P67" s="72"/>
      <c r="Q67" s="72"/>
      <c r="R67" s="72"/>
      <c r="S67" s="72"/>
      <c r="T67" s="72"/>
      <c r="U67" s="72"/>
      <c r="V67" s="72"/>
      <c r="W67" s="72"/>
      <c r="X67" s="72"/>
      <c r="Y67" s="72"/>
      <c r="Z67" s="71"/>
      <c r="AA67" s="4"/>
      <c r="AB67" s="4"/>
      <c r="AC67" s="4"/>
    </row>
    <row r="68" spans="2:29" x14ac:dyDescent="0.2">
      <c r="B68" s="94"/>
      <c r="C68" s="95"/>
      <c r="D68" s="96"/>
      <c r="E68" s="97"/>
      <c r="F68" s="97"/>
      <c r="H68" s="4"/>
      <c r="I68" s="4"/>
      <c r="J68" s="4"/>
      <c r="K68" s="4"/>
      <c r="L68" s="4"/>
      <c r="M68" s="4"/>
      <c r="N68" s="4"/>
      <c r="O68" s="4"/>
      <c r="P68" s="4"/>
      <c r="Q68" s="4"/>
      <c r="R68" s="4"/>
      <c r="S68" s="4"/>
      <c r="T68" s="4"/>
      <c r="U68" s="4"/>
      <c r="V68" s="4"/>
      <c r="W68" s="4"/>
      <c r="X68" s="4"/>
      <c r="Y68" s="4"/>
      <c r="Z68" s="4"/>
      <c r="AA68" s="4"/>
      <c r="AB68" s="4"/>
      <c r="AC68" s="4"/>
    </row>
    <row r="69" spans="2:29" x14ac:dyDescent="0.2">
      <c r="B69" s="94"/>
      <c r="C69" s="95"/>
      <c r="D69" s="96"/>
      <c r="E69" s="97"/>
      <c r="F69" s="97"/>
      <c r="H69" s="4"/>
      <c r="I69" s="4"/>
      <c r="J69" s="4"/>
      <c r="K69" s="4"/>
      <c r="L69" s="4"/>
      <c r="M69" s="4"/>
      <c r="N69" s="4"/>
      <c r="O69" s="4"/>
      <c r="P69" s="4"/>
      <c r="Q69" s="4"/>
      <c r="R69" s="4"/>
      <c r="S69" s="4"/>
      <c r="T69" s="4"/>
      <c r="U69" s="4"/>
      <c r="V69" s="4"/>
      <c r="W69" s="4"/>
      <c r="X69" s="4"/>
      <c r="Y69" s="4"/>
      <c r="Z69" s="4"/>
      <c r="AA69" s="4"/>
      <c r="AB69" s="4"/>
      <c r="AC69" s="4"/>
    </row>
    <row r="70" spans="2:29" x14ac:dyDescent="0.2">
      <c r="B70" s="94"/>
      <c r="C70" s="95"/>
      <c r="D70" s="96"/>
      <c r="E70" s="97"/>
      <c r="F70" s="97"/>
      <c r="H70" s="4"/>
      <c r="I70" s="4"/>
      <c r="J70" s="4"/>
      <c r="K70" s="4"/>
      <c r="L70" s="4"/>
      <c r="M70" s="4"/>
      <c r="N70" s="4"/>
      <c r="O70" s="4"/>
      <c r="P70" s="4"/>
      <c r="Q70" s="4"/>
      <c r="R70" s="4"/>
      <c r="S70" s="4"/>
      <c r="T70" s="4"/>
      <c r="U70" s="4"/>
      <c r="V70" s="4"/>
      <c r="W70" s="4"/>
      <c r="X70" s="4"/>
      <c r="Y70" s="4"/>
      <c r="Z70" s="4"/>
      <c r="AA70" s="4"/>
      <c r="AB70" s="4"/>
      <c r="AC70" s="4"/>
    </row>
    <row r="71" spans="2:29" ht="13.5" thickBot="1" x14ac:dyDescent="0.25">
      <c r="B71" s="119" t="s">
        <v>135</v>
      </c>
      <c r="C71" s="123"/>
      <c r="D71" s="119"/>
      <c r="E71" s="120"/>
      <c r="F71" s="120"/>
      <c r="H71" s="4"/>
      <c r="I71" s="4"/>
      <c r="J71" s="4"/>
      <c r="K71" s="4"/>
      <c r="L71" s="4"/>
      <c r="M71" s="4"/>
      <c r="N71" s="4"/>
      <c r="O71" s="4"/>
      <c r="P71" s="4"/>
      <c r="Q71" s="4"/>
      <c r="R71" s="4"/>
      <c r="S71" s="4"/>
      <c r="T71" s="4"/>
      <c r="U71" s="4"/>
      <c r="V71" s="4"/>
      <c r="W71" s="4"/>
      <c r="X71" s="4"/>
      <c r="Y71" s="4"/>
      <c r="Z71" s="4"/>
      <c r="AA71" s="4"/>
      <c r="AB71" s="4"/>
      <c r="AC71" s="4"/>
    </row>
    <row r="72" spans="2:29" x14ac:dyDescent="0.2">
      <c r="B72" s="124" t="s">
        <v>136</v>
      </c>
      <c r="C72" s="125"/>
      <c r="D72" s="109" t="s">
        <v>275</v>
      </c>
      <c r="E72" s="110"/>
      <c r="F72" s="110"/>
      <c r="H72" s="4"/>
      <c r="I72" s="4"/>
      <c r="J72" s="4"/>
      <c r="K72" s="4"/>
      <c r="L72" s="4"/>
      <c r="M72" s="4"/>
      <c r="N72" s="4"/>
      <c r="O72" s="4"/>
      <c r="P72" s="4"/>
      <c r="Q72" s="4"/>
      <c r="R72" s="4"/>
      <c r="S72" s="4"/>
      <c r="T72" s="4"/>
      <c r="U72" s="4"/>
      <c r="V72" s="4"/>
      <c r="W72" s="4"/>
      <c r="X72" s="4"/>
      <c r="Y72" s="4"/>
      <c r="Z72" s="4"/>
      <c r="AA72" s="4"/>
      <c r="AB72" s="4"/>
      <c r="AC72" s="4"/>
    </row>
    <row r="73" spans="2:29" x14ac:dyDescent="0.2">
      <c r="B73" s="121" t="s">
        <v>137</v>
      </c>
      <c r="C73" s="122"/>
      <c r="D73" s="96" t="s">
        <v>285</v>
      </c>
      <c r="E73" s="97"/>
      <c r="F73" s="97"/>
      <c r="H73" s="4"/>
      <c r="I73" s="4"/>
      <c r="J73" s="4"/>
      <c r="K73" s="4"/>
      <c r="L73" s="4"/>
      <c r="M73" s="4"/>
      <c r="N73" s="4"/>
      <c r="O73" s="4"/>
      <c r="P73" s="4"/>
      <c r="Q73" s="4"/>
      <c r="R73" s="4"/>
      <c r="S73" s="4"/>
      <c r="T73" s="4"/>
      <c r="U73" s="4"/>
      <c r="V73" s="4"/>
      <c r="W73" s="4"/>
      <c r="X73" s="4"/>
      <c r="Y73" s="4"/>
      <c r="Z73" s="4"/>
      <c r="AA73" s="4"/>
      <c r="AB73" s="4"/>
      <c r="AC73" s="4"/>
    </row>
    <row r="74" spans="2:29" x14ac:dyDescent="0.2">
      <c r="B74" s="121" t="s">
        <v>138</v>
      </c>
      <c r="C74" s="122"/>
      <c r="D74" s="96" t="s">
        <v>279</v>
      </c>
      <c r="E74" s="97"/>
      <c r="F74" s="97"/>
      <c r="H74" s="4"/>
      <c r="I74" s="4"/>
      <c r="J74" s="4"/>
      <c r="K74" s="4"/>
      <c r="L74" s="4"/>
      <c r="M74" s="4"/>
      <c r="N74" s="4"/>
      <c r="O74" s="4"/>
      <c r="P74" s="4"/>
      <c r="Q74" s="4"/>
      <c r="R74" s="4"/>
      <c r="S74" s="4"/>
      <c r="T74" s="4"/>
      <c r="U74" s="4"/>
      <c r="V74" s="4"/>
      <c r="W74" s="4"/>
      <c r="X74" s="4"/>
      <c r="Y74" s="4"/>
      <c r="Z74" s="4"/>
      <c r="AA74" s="4"/>
      <c r="AB74" s="4"/>
      <c r="AC74" s="4"/>
    </row>
    <row r="75" spans="2:29" x14ac:dyDescent="0.2">
      <c r="B75" s="94"/>
      <c r="C75" s="95"/>
      <c r="D75" s="96"/>
      <c r="E75" s="97"/>
      <c r="F75" s="97"/>
      <c r="H75" s="4"/>
      <c r="I75" s="4"/>
      <c r="J75" s="4"/>
      <c r="K75" s="4"/>
      <c r="L75" s="4"/>
      <c r="M75" s="4"/>
      <c r="N75" s="4"/>
      <c r="O75" s="4"/>
      <c r="P75" s="4"/>
      <c r="Q75" s="4"/>
      <c r="R75" s="4"/>
      <c r="S75" s="4"/>
      <c r="T75" s="4"/>
      <c r="U75" s="4"/>
      <c r="V75" s="4"/>
      <c r="W75" s="4"/>
      <c r="X75" s="4"/>
      <c r="Y75" s="4"/>
      <c r="Z75" s="4"/>
      <c r="AA75" s="4"/>
      <c r="AB75" s="4"/>
      <c r="AC75" s="4"/>
    </row>
    <row r="76" spans="2:29" x14ac:dyDescent="0.2">
      <c r="B76" s="94"/>
      <c r="C76" s="95"/>
      <c r="D76" s="96"/>
      <c r="E76" s="97"/>
      <c r="F76" s="97"/>
      <c r="H76" s="4"/>
      <c r="I76" s="4"/>
      <c r="J76" s="4"/>
      <c r="K76" s="4"/>
      <c r="L76" s="4"/>
      <c r="M76" s="4"/>
      <c r="N76" s="4"/>
      <c r="O76" s="4"/>
      <c r="P76" s="4"/>
      <c r="Q76" s="4"/>
      <c r="R76" s="4"/>
      <c r="S76" s="4"/>
      <c r="T76" s="4"/>
      <c r="U76" s="4"/>
      <c r="V76" s="4"/>
      <c r="W76" s="4"/>
      <c r="X76" s="4"/>
      <c r="Y76" s="4"/>
      <c r="Z76" s="4"/>
      <c r="AA76" s="4"/>
      <c r="AB76" s="4"/>
      <c r="AC76" s="4"/>
    </row>
    <row r="77" spans="2:29" x14ac:dyDescent="0.2">
      <c r="B77" s="94"/>
      <c r="C77" s="95"/>
      <c r="D77" s="96"/>
      <c r="E77" s="97"/>
      <c r="F77" s="97"/>
      <c r="H77" s="4"/>
      <c r="I77" s="4"/>
      <c r="J77" s="4"/>
      <c r="K77" s="4"/>
      <c r="L77" s="4"/>
      <c r="M77" s="4"/>
      <c r="N77" s="4"/>
      <c r="O77" s="4"/>
      <c r="P77" s="4"/>
      <c r="Q77" s="4"/>
      <c r="R77" s="4"/>
      <c r="S77" s="4"/>
      <c r="T77" s="4"/>
      <c r="U77" s="4"/>
      <c r="V77" s="4"/>
      <c r="W77" s="4"/>
      <c r="X77" s="4"/>
      <c r="Y77" s="4"/>
      <c r="Z77" s="4"/>
      <c r="AA77" s="4"/>
      <c r="AB77" s="4"/>
      <c r="AC77" s="4"/>
    </row>
    <row r="78" spans="2:29" x14ac:dyDescent="0.2">
      <c r="B78" s="94"/>
      <c r="C78" s="95"/>
      <c r="D78" s="96"/>
      <c r="E78" s="97"/>
      <c r="F78" s="97"/>
      <c r="H78" s="4"/>
      <c r="I78" s="4"/>
      <c r="J78" s="4"/>
      <c r="K78" s="4"/>
      <c r="L78" s="4"/>
      <c r="M78" s="4"/>
      <c r="N78" s="4"/>
      <c r="O78" s="4"/>
      <c r="P78" s="4"/>
      <c r="Q78" s="4"/>
      <c r="R78" s="4"/>
      <c r="S78" s="4"/>
      <c r="T78" s="4"/>
      <c r="U78" s="4"/>
      <c r="V78" s="4"/>
      <c r="W78" s="4"/>
      <c r="X78" s="4"/>
      <c r="Y78" s="4"/>
      <c r="Z78" s="4"/>
      <c r="AA78" s="4"/>
      <c r="AB78" s="4"/>
      <c r="AC78" s="4"/>
    </row>
    <row r="79" spans="2:29" x14ac:dyDescent="0.2">
      <c r="B79" s="94"/>
      <c r="C79" s="95"/>
      <c r="D79" s="96"/>
      <c r="E79" s="97"/>
      <c r="F79" s="97"/>
      <c r="H79" s="4"/>
      <c r="I79" s="4"/>
      <c r="J79" s="4"/>
      <c r="K79" s="4"/>
      <c r="L79" s="4"/>
      <c r="M79" s="4"/>
      <c r="N79" s="4"/>
      <c r="O79" s="4"/>
      <c r="P79" s="4"/>
      <c r="Q79" s="4"/>
      <c r="R79" s="4"/>
      <c r="S79" s="4"/>
      <c r="T79" s="4"/>
      <c r="U79" s="4"/>
      <c r="V79" s="4"/>
      <c r="W79" s="4"/>
      <c r="X79" s="4"/>
      <c r="Y79" s="4"/>
      <c r="Z79" s="4"/>
      <c r="AA79" s="4"/>
      <c r="AB79" s="4"/>
      <c r="AC79" s="4"/>
    </row>
    <row r="80" spans="2:29" x14ac:dyDescent="0.2">
      <c r="B80" s="94"/>
      <c r="C80" s="95"/>
      <c r="D80" s="96"/>
      <c r="E80" s="97"/>
      <c r="F80" s="97"/>
      <c r="H80" s="4"/>
      <c r="I80" s="4"/>
      <c r="J80" s="4"/>
      <c r="K80" s="4"/>
      <c r="L80" s="4"/>
      <c r="M80" s="4"/>
      <c r="N80" s="4"/>
      <c r="O80" s="4"/>
      <c r="P80" s="4"/>
      <c r="Q80" s="4"/>
      <c r="R80" s="4"/>
      <c r="S80" s="4"/>
      <c r="T80" s="4"/>
      <c r="U80" s="4"/>
      <c r="V80" s="4"/>
      <c r="W80" s="4"/>
      <c r="X80" s="4"/>
      <c r="Y80" s="4"/>
      <c r="Z80" s="4"/>
      <c r="AA80" s="4"/>
      <c r="AB80" s="4"/>
      <c r="AC80" s="4"/>
    </row>
    <row r="81" spans="2:29" x14ac:dyDescent="0.2">
      <c r="B81" s="94"/>
      <c r="C81" s="95"/>
      <c r="D81" s="96"/>
      <c r="E81" s="97"/>
      <c r="F81" s="97"/>
      <c r="H81" s="4"/>
      <c r="I81" s="4"/>
      <c r="J81" s="4"/>
      <c r="K81" s="4"/>
      <c r="L81" s="4"/>
      <c r="M81" s="4"/>
      <c r="N81" s="4"/>
      <c r="O81" s="4"/>
      <c r="P81" s="4"/>
      <c r="Q81" s="4"/>
      <c r="R81" s="4"/>
      <c r="S81" s="4"/>
      <c r="T81" s="4"/>
      <c r="U81" s="4"/>
      <c r="V81" s="4"/>
      <c r="W81" s="4"/>
      <c r="X81" s="4"/>
      <c r="Y81" s="4"/>
      <c r="Z81" s="4"/>
      <c r="AA81" s="4"/>
      <c r="AB81" s="4"/>
      <c r="AC81" s="4"/>
    </row>
    <row r="82" spans="2:29" x14ac:dyDescent="0.2">
      <c r="B82" s="94"/>
      <c r="C82" s="95"/>
      <c r="D82" s="96"/>
      <c r="E82" s="97"/>
      <c r="F82" s="97"/>
      <c r="H82" s="4"/>
      <c r="I82" s="4"/>
      <c r="J82" s="4"/>
      <c r="K82" s="4"/>
      <c r="L82" s="4"/>
      <c r="M82" s="4"/>
      <c r="N82" s="4"/>
      <c r="O82" s="4"/>
      <c r="P82" s="4"/>
      <c r="Q82" s="4"/>
      <c r="R82" s="4"/>
      <c r="S82" s="4"/>
      <c r="T82" s="4"/>
      <c r="U82" s="4"/>
      <c r="V82" s="4"/>
      <c r="W82" s="4"/>
      <c r="X82" s="4"/>
      <c r="Y82" s="4"/>
      <c r="Z82" s="4"/>
      <c r="AA82" s="4"/>
      <c r="AB82" s="4"/>
      <c r="AC82" s="4"/>
    </row>
    <row r="83" spans="2:29" x14ac:dyDescent="0.2">
      <c r="B83" s="94"/>
      <c r="C83" s="95"/>
      <c r="D83" s="96"/>
      <c r="E83" s="97"/>
      <c r="F83" s="97"/>
      <c r="H83" s="4"/>
      <c r="I83" s="4"/>
      <c r="J83" s="4"/>
      <c r="K83" s="4"/>
      <c r="L83" s="4"/>
      <c r="M83" s="4"/>
      <c r="N83" s="4"/>
      <c r="O83" s="4"/>
      <c r="P83" s="4"/>
      <c r="Q83" s="4"/>
      <c r="R83" s="4"/>
      <c r="S83" s="4"/>
      <c r="T83" s="4"/>
      <c r="U83" s="4"/>
      <c r="V83" s="4"/>
      <c r="W83" s="4"/>
      <c r="X83" s="4"/>
      <c r="Y83" s="4"/>
      <c r="Z83" s="4"/>
      <c r="AA83" s="4"/>
      <c r="AB83" s="4"/>
      <c r="AC83" s="4"/>
    </row>
    <row r="84" spans="2:29" x14ac:dyDescent="0.2">
      <c r="B84" s="94"/>
      <c r="C84" s="95"/>
      <c r="D84" s="96"/>
      <c r="E84" s="97"/>
      <c r="F84" s="97"/>
      <c r="H84" s="4"/>
      <c r="I84" s="4"/>
      <c r="J84" s="4"/>
      <c r="K84" s="4"/>
      <c r="L84" s="4"/>
      <c r="M84" s="4"/>
      <c r="N84" s="4"/>
      <c r="O84" s="4"/>
      <c r="P84" s="4"/>
      <c r="Q84" s="4"/>
      <c r="R84" s="4"/>
      <c r="S84" s="4"/>
      <c r="T84" s="4"/>
      <c r="U84" s="4"/>
      <c r="V84" s="4"/>
      <c r="W84" s="4"/>
      <c r="X84" s="4"/>
      <c r="Y84" s="4"/>
      <c r="Z84" s="4"/>
      <c r="AA84" s="4"/>
      <c r="AB84" s="4"/>
      <c r="AC84" s="4"/>
    </row>
    <row r="85" spans="2:29" x14ac:dyDescent="0.2">
      <c r="B85" s="94"/>
      <c r="C85" s="95"/>
      <c r="D85" s="96"/>
      <c r="E85" s="97"/>
      <c r="F85" s="97"/>
      <c r="H85" s="4"/>
      <c r="I85" s="4"/>
      <c r="J85" s="4"/>
      <c r="K85" s="4"/>
      <c r="L85" s="4"/>
      <c r="M85" s="4"/>
      <c r="N85" s="4"/>
      <c r="O85" s="4"/>
      <c r="P85" s="4"/>
      <c r="Q85" s="4"/>
      <c r="R85" s="4"/>
      <c r="S85" s="4"/>
      <c r="T85" s="4"/>
      <c r="U85" s="4"/>
      <c r="V85" s="4"/>
      <c r="W85" s="4"/>
      <c r="X85" s="4"/>
      <c r="Y85" s="4"/>
      <c r="Z85" s="4"/>
      <c r="AA85" s="4"/>
      <c r="AB85" s="4"/>
      <c r="AC85" s="4"/>
    </row>
    <row r="86" spans="2:29" x14ac:dyDescent="0.2">
      <c r="B86" s="94"/>
      <c r="C86" s="95"/>
      <c r="D86" s="96"/>
      <c r="E86" s="97"/>
      <c r="F86" s="97"/>
      <c r="H86" s="4"/>
      <c r="I86" s="4"/>
      <c r="J86" s="4"/>
      <c r="K86" s="4"/>
      <c r="L86" s="4"/>
      <c r="M86" s="4"/>
      <c r="N86" s="4"/>
      <c r="O86" s="4"/>
      <c r="P86" s="4"/>
      <c r="Q86" s="4"/>
      <c r="R86" s="4"/>
      <c r="S86" s="4"/>
      <c r="T86" s="4"/>
      <c r="U86" s="4"/>
      <c r="V86" s="4"/>
      <c r="W86" s="4"/>
      <c r="X86" s="4"/>
      <c r="Y86" s="4"/>
      <c r="Z86" s="4"/>
      <c r="AA86" s="4"/>
      <c r="AB86" s="4"/>
      <c r="AC86" s="4"/>
    </row>
    <row r="87" spans="2:29" x14ac:dyDescent="0.2">
      <c r="B87" s="4"/>
      <c r="C87" s="4"/>
      <c r="D87" s="4"/>
      <c r="H87" s="4"/>
      <c r="I87" s="4"/>
      <c r="J87" s="4"/>
      <c r="K87" s="4"/>
      <c r="L87" s="4"/>
      <c r="M87" s="4"/>
      <c r="N87" s="4"/>
      <c r="O87" s="4"/>
      <c r="P87" s="4"/>
      <c r="Q87" s="4"/>
      <c r="R87" s="4"/>
      <c r="S87" s="4"/>
      <c r="T87" s="4"/>
      <c r="U87" s="4"/>
      <c r="V87" s="4"/>
      <c r="W87" s="4"/>
      <c r="X87" s="4"/>
      <c r="Y87" s="4"/>
      <c r="Z87" s="4"/>
      <c r="AA87" s="4"/>
      <c r="AB87" s="4"/>
      <c r="AC87" s="4"/>
    </row>
    <row r="88" spans="2:29" x14ac:dyDescent="0.2">
      <c r="B88" s="4"/>
      <c r="C88" s="4"/>
      <c r="D88" s="4"/>
      <c r="H88" s="4"/>
      <c r="I88" s="4"/>
      <c r="J88" s="4"/>
      <c r="K88" s="4"/>
      <c r="L88" s="4"/>
      <c r="M88" s="4"/>
      <c r="N88" s="4"/>
      <c r="O88" s="4"/>
      <c r="P88" s="4"/>
      <c r="Q88" s="4"/>
      <c r="R88" s="4"/>
      <c r="S88" s="4"/>
      <c r="T88" s="4"/>
      <c r="U88" s="4"/>
      <c r="V88" s="4"/>
      <c r="W88" s="4"/>
      <c r="X88" s="4"/>
      <c r="Y88" s="4"/>
      <c r="Z88" s="4"/>
      <c r="AA88" s="4"/>
      <c r="AB88" s="4"/>
      <c r="AC88" s="4"/>
    </row>
    <row r="89" spans="2:29" x14ac:dyDescent="0.2">
      <c r="B89" s="4"/>
      <c r="C89" s="4"/>
      <c r="D89" s="4"/>
      <c r="H89" s="4"/>
      <c r="I89" s="4"/>
      <c r="J89" s="4"/>
      <c r="K89" s="4"/>
      <c r="L89" s="4"/>
      <c r="M89" s="4"/>
      <c r="N89" s="4"/>
      <c r="O89" s="4"/>
      <c r="P89" s="4"/>
      <c r="Q89" s="4"/>
      <c r="R89" s="4"/>
      <c r="S89" s="4"/>
      <c r="T89" s="4"/>
      <c r="U89" s="4"/>
      <c r="V89" s="4"/>
      <c r="W89" s="4"/>
      <c r="X89" s="4"/>
      <c r="Y89" s="4"/>
      <c r="Z89" s="4"/>
      <c r="AA89" s="4"/>
      <c r="AB89" s="4"/>
      <c r="AC89" s="4"/>
    </row>
    <row r="90" spans="2:29" hidden="1" x14ac:dyDescent="0.2">
      <c r="B90" s="4"/>
      <c r="C90" s="4"/>
      <c r="D90" s="4"/>
      <c r="H90" s="4"/>
      <c r="I90" s="4"/>
      <c r="J90" s="4"/>
      <c r="K90" s="4"/>
      <c r="L90" s="4"/>
      <c r="M90" s="4"/>
      <c r="N90" s="4"/>
      <c r="O90" s="4"/>
      <c r="P90" s="4"/>
      <c r="Q90" s="4"/>
      <c r="R90" s="4"/>
      <c r="S90" s="4"/>
      <c r="T90" s="4"/>
      <c r="U90" s="4"/>
      <c r="V90" s="4"/>
      <c r="W90" s="4"/>
      <c r="X90" s="4"/>
      <c r="Y90" s="4"/>
      <c r="Z90" s="4"/>
      <c r="AA90" s="4"/>
      <c r="AB90" s="4"/>
      <c r="AC90" s="4"/>
    </row>
    <row r="91" spans="2:29" hidden="1" x14ac:dyDescent="0.2">
      <c r="B91" s="4"/>
      <c r="C91" s="4"/>
      <c r="D91" s="4"/>
      <c r="H91" s="4"/>
      <c r="I91" s="4"/>
      <c r="J91" s="4"/>
      <c r="K91" s="4"/>
      <c r="L91" s="4"/>
      <c r="M91" s="4"/>
      <c r="N91" s="4"/>
      <c r="O91" s="4"/>
      <c r="P91" s="4"/>
      <c r="Q91" s="4"/>
      <c r="R91" s="4"/>
      <c r="S91" s="4"/>
      <c r="T91" s="4"/>
      <c r="U91" s="4"/>
      <c r="V91" s="4"/>
      <c r="W91" s="4"/>
      <c r="X91" s="4"/>
      <c r="Y91" s="4"/>
      <c r="Z91" s="4"/>
      <c r="AA91" s="4"/>
      <c r="AB91" s="4"/>
      <c r="AC91" s="4"/>
    </row>
    <row r="92" spans="2:29" hidden="1" x14ac:dyDescent="0.2">
      <c r="B92" s="4"/>
      <c r="C92" s="4"/>
      <c r="D92" s="4"/>
      <c r="H92" s="4"/>
      <c r="I92" s="4"/>
      <c r="J92" s="4"/>
      <c r="K92" s="4"/>
      <c r="L92" s="4"/>
      <c r="M92" s="4"/>
      <c r="N92" s="4"/>
      <c r="O92" s="4"/>
      <c r="P92" s="4"/>
      <c r="Q92" s="4"/>
      <c r="R92" s="4"/>
      <c r="S92" s="4"/>
      <c r="T92" s="4"/>
      <c r="U92" s="4"/>
      <c r="V92" s="4"/>
      <c r="W92" s="4"/>
      <c r="X92" s="4"/>
      <c r="Y92" s="4"/>
      <c r="Z92" s="4"/>
      <c r="AA92" s="4"/>
      <c r="AB92" s="4"/>
      <c r="AC92" s="4"/>
    </row>
    <row r="93" spans="2:29" hidden="1" x14ac:dyDescent="0.2">
      <c r="B93" s="4"/>
      <c r="C93" s="4"/>
      <c r="D93" s="4"/>
      <c r="H93" s="4"/>
      <c r="I93" s="4"/>
      <c r="J93" s="4"/>
      <c r="K93" s="4"/>
      <c r="L93" s="4"/>
      <c r="M93" s="4"/>
      <c r="N93" s="4"/>
      <c r="O93" s="4"/>
      <c r="P93" s="4"/>
      <c r="Q93" s="4"/>
      <c r="R93" s="4"/>
      <c r="S93" s="4"/>
      <c r="T93" s="4"/>
      <c r="U93" s="4"/>
      <c r="V93" s="4"/>
      <c r="W93" s="4"/>
      <c r="X93" s="4"/>
      <c r="Y93" s="4"/>
      <c r="Z93" s="4"/>
      <c r="AA93" s="4"/>
      <c r="AB93" s="4"/>
      <c r="AC93" s="4"/>
    </row>
    <row r="94" spans="2:29" hidden="1" x14ac:dyDescent="0.2">
      <c r="B94" s="4"/>
      <c r="C94" s="4"/>
      <c r="D94" s="4"/>
      <c r="H94" s="4"/>
      <c r="I94" s="4"/>
      <c r="J94" s="4"/>
      <c r="K94" s="4"/>
      <c r="L94" s="4"/>
      <c r="M94" s="4"/>
      <c r="N94" s="4"/>
      <c r="O94" s="4"/>
      <c r="P94" s="4"/>
      <c r="Q94" s="4"/>
      <c r="R94" s="4"/>
      <c r="S94" s="4"/>
      <c r="T94" s="4"/>
      <c r="U94" s="4"/>
      <c r="V94" s="4"/>
      <c r="W94" s="4"/>
      <c r="X94" s="4"/>
      <c r="Y94" s="4"/>
      <c r="Z94" s="4"/>
      <c r="AA94" s="4"/>
      <c r="AB94" s="4"/>
      <c r="AC94" s="4"/>
    </row>
    <row r="95" spans="2:29" hidden="1" x14ac:dyDescent="0.2">
      <c r="B95" s="4"/>
      <c r="C95" s="4"/>
      <c r="D95" s="4"/>
      <c r="H95" s="4"/>
      <c r="I95" s="4"/>
      <c r="J95" s="4"/>
      <c r="K95" s="4"/>
      <c r="L95" s="4"/>
      <c r="M95" s="4"/>
      <c r="N95" s="4"/>
      <c r="O95" s="4"/>
      <c r="P95" s="4"/>
      <c r="Q95" s="4"/>
      <c r="R95" s="4"/>
      <c r="S95" s="4"/>
      <c r="T95" s="4"/>
      <c r="U95" s="4"/>
      <c r="V95" s="4"/>
      <c r="W95" s="4"/>
      <c r="X95" s="4"/>
      <c r="Y95" s="4"/>
      <c r="Z95" s="4"/>
      <c r="AA95" s="4"/>
      <c r="AB95" s="4"/>
      <c r="AC95" s="4"/>
    </row>
    <row r="96" spans="2:29" hidden="1" x14ac:dyDescent="0.2">
      <c r="B96" s="4"/>
      <c r="C96" s="4"/>
      <c r="D96" s="4"/>
      <c r="H96" s="4"/>
      <c r="I96" s="4"/>
      <c r="J96" s="4"/>
      <c r="K96" s="4"/>
      <c r="L96" s="4"/>
      <c r="M96" s="4"/>
      <c r="N96" s="4"/>
      <c r="O96" s="4"/>
      <c r="P96" s="4"/>
      <c r="Q96" s="4"/>
      <c r="R96" s="4"/>
      <c r="S96" s="4"/>
      <c r="T96" s="4"/>
      <c r="U96" s="4"/>
      <c r="V96" s="4"/>
      <c r="W96" s="4"/>
      <c r="X96" s="4"/>
      <c r="Y96" s="4"/>
      <c r="Z96" s="4"/>
      <c r="AA96" s="4"/>
      <c r="AB96" s="4"/>
      <c r="AC96" s="4"/>
    </row>
    <row r="97" spans="2:29" hidden="1" x14ac:dyDescent="0.2">
      <c r="B97" s="4"/>
      <c r="C97" s="4"/>
      <c r="D97" s="4"/>
      <c r="H97" s="4"/>
      <c r="I97" s="4"/>
      <c r="J97" s="4"/>
      <c r="K97" s="4"/>
      <c r="L97" s="4"/>
      <c r="M97" s="4"/>
      <c r="N97" s="4"/>
      <c r="O97" s="4"/>
      <c r="P97" s="4"/>
      <c r="Q97" s="4"/>
      <c r="R97" s="4"/>
      <c r="S97" s="4"/>
      <c r="T97" s="4"/>
      <c r="U97" s="4"/>
      <c r="V97" s="4"/>
      <c r="W97" s="4"/>
      <c r="X97" s="4"/>
      <c r="Y97" s="4"/>
      <c r="Z97" s="4"/>
      <c r="AA97" s="4"/>
      <c r="AB97" s="4"/>
      <c r="AC97" s="4"/>
    </row>
    <row r="98" spans="2:29" hidden="1" x14ac:dyDescent="0.2">
      <c r="B98" s="4"/>
      <c r="C98" s="4"/>
      <c r="D98" s="4"/>
      <c r="H98" s="4"/>
      <c r="I98" s="4"/>
      <c r="J98" s="4"/>
      <c r="K98" s="4"/>
      <c r="L98" s="4"/>
      <c r="M98" s="4"/>
      <c r="N98" s="4"/>
      <c r="O98" s="4"/>
      <c r="P98" s="4"/>
      <c r="Q98" s="4"/>
      <c r="R98" s="4"/>
      <c r="S98" s="4"/>
      <c r="T98" s="4"/>
      <c r="U98" s="4"/>
      <c r="V98" s="4"/>
      <c r="W98" s="4"/>
      <c r="X98" s="4"/>
      <c r="Y98" s="4"/>
      <c r="Z98" s="4"/>
      <c r="AA98" s="4"/>
      <c r="AB98" s="4"/>
      <c r="AC98" s="4"/>
    </row>
    <row r="99" spans="2:29" hidden="1" x14ac:dyDescent="0.2">
      <c r="B99" s="4"/>
      <c r="C99" s="4"/>
      <c r="D99" s="4"/>
      <c r="H99" s="4"/>
      <c r="I99" s="4"/>
      <c r="J99" s="4"/>
      <c r="K99" s="4"/>
      <c r="L99" s="4"/>
      <c r="M99" s="4"/>
      <c r="N99" s="4"/>
      <c r="O99" s="4"/>
      <c r="P99" s="4"/>
      <c r="Q99" s="4"/>
      <c r="R99" s="4"/>
      <c r="S99" s="4"/>
      <c r="T99" s="4"/>
      <c r="U99" s="4"/>
      <c r="V99" s="4"/>
      <c r="W99" s="4"/>
      <c r="X99" s="4"/>
      <c r="Y99" s="4"/>
      <c r="Z99" s="4"/>
      <c r="AA99" s="4"/>
      <c r="AB99" s="4"/>
      <c r="AC99" s="4"/>
    </row>
    <row r="100" spans="2:29" hidden="1" x14ac:dyDescent="0.2">
      <c r="B100" s="4"/>
      <c r="C100" s="4"/>
      <c r="D100" s="4"/>
      <c r="H100" s="4"/>
      <c r="I100" s="4"/>
      <c r="J100" s="4"/>
      <c r="K100" s="4"/>
      <c r="L100" s="4"/>
      <c r="M100" s="4"/>
      <c r="N100" s="4"/>
      <c r="O100" s="4"/>
      <c r="P100" s="4"/>
      <c r="Q100" s="4"/>
      <c r="R100" s="4"/>
      <c r="S100" s="4"/>
      <c r="T100" s="4"/>
      <c r="U100" s="4"/>
      <c r="V100" s="4"/>
      <c r="W100" s="4"/>
      <c r="X100" s="4"/>
      <c r="Y100" s="4"/>
      <c r="Z100" s="4"/>
      <c r="AA100" s="4"/>
      <c r="AB100" s="4"/>
      <c r="AC100" s="4"/>
    </row>
    <row r="101" spans="2:29" hidden="1" x14ac:dyDescent="0.2">
      <c r="B101" s="4"/>
      <c r="C101" s="4"/>
      <c r="D101" s="4"/>
      <c r="H101" s="4"/>
      <c r="I101" s="4"/>
      <c r="J101" s="4"/>
      <c r="K101" s="4"/>
      <c r="L101" s="4"/>
      <c r="M101" s="4"/>
      <c r="N101" s="4"/>
      <c r="O101" s="4"/>
      <c r="P101" s="4"/>
      <c r="Q101" s="4"/>
      <c r="R101" s="4"/>
      <c r="S101" s="4"/>
      <c r="T101" s="4"/>
      <c r="U101" s="4"/>
      <c r="V101" s="4"/>
      <c r="W101" s="4"/>
      <c r="X101" s="4"/>
      <c r="Y101" s="4"/>
      <c r="Z101" s="4"/>
      <c r="AA101" s="4"/>
      <c r="AB101" s="4"/>
      <c r="AC101" s="4"/>
    </row>
    <row r="102" spans="2:29" hidden="1" x14ac:dyDescent="0.2">
      <c r="B102" s="4"/>
      <c r="C102" s="4"/>
      <c r="D102" s="4"/>
      <c r="H102" s="4"/>
      <c r="I102" s="4"/>
      <c r="J102" s="4"/>
      <c r="K102" s="4"/>
      <c r="L102" s="4"/>
      <c r="M102" s="4"/>
      <c r="N102" s="4"/>
      <c r="O102" s="4"/>
      <c r="P102" s="4"/>
      <c r="Q102" s="4"/>
      <c r="R102" s="4"/>
      <c r="S102" s="4"/>
      <c r="T102" s="4"/>
      <c r="U102" s="4"/>
      <c r="V102" s="4"/>
      <c r="W102" s="4"/>
      <c r="X102" s="4"/>
      <c r="Y102" s="4"/>
      <c r="Z102" s="4"/>
      <c r="AA102" s="4"/>
      <c r="AB102" s="4"/>
      <c r="AC102" s="4"/>
    </row>
    <row r="103" spans="2:29" hidden="1" x14ac:dyDescent="0.2">
      <c r="B103" s="4"/>
      <c r="C103" s="4"/>
      <c r="D103" s="4"/>
      <c r="H103" s="4"/>
      <c r="I103" s="4"/>
      <c r="J103" s="4"/>
      <c r="K103" s="4"/>
      <c r="L103" s="4"/>
      <c r="M103" s="4"/>
      <c r="N103" s="4"/>
      <c r="O103" s="4"/>
      <c r="P103" s="4"/>
      <c r="Q103" s="4"/>
      <c r="R103" s="4"/>
      <c r="S103" s="4"/>
      <c r="T103" s="4"/>
      <c r="U103" s="4"/>
      <c r="V103" s="4"/>
      <c r="W103" s="4"/>
      <c r="X103" s="4"/>
      <c r="Y103" s="4"/>
      <c r="Z103" s="4"/>
      <c r="AA103" s="4"/>
      <c r="AB103" s="4"/>
      <c r="AC103" s="4"/>
    </row>
    <row r="104" spans="2:29" hidden="1" x14ac:dyDescent="0.2">
      <c r="B104" s="4"/>
      <c r="C104" s="4"/>
      <c r="D104" s="4"/>
      <c r="H104" s="4"/>
      <c r="I104" s="4"/>
      <c r="J104" s="4"/>
      <c r="K104" s="4"/>
      <c r="L104" s="4"/>
      <c r="M104" s="4"/>
      <c r="N104" s="4"/>
      <c r="O104" s="4"/>
      <c r="P104" s="4"/>
      <c r="Q104" s="4"/>
      <c r="R104" s="4"/>
      <c r="S104" s="4"/>
      <c r="T104" s="4"/>
      <c r="U104" s="4"/>
      <c r="V104" s="4"/>
      <c r="W104" s="4"/>
      <c r="X104" s="4"/>
      <c r="Y104" s="4"/>
      <c r="Z104" s="4"/>
      <c r="AA104" s="4"/>
      <c r="AB104" s="4"/>
      <c r="AC104" s="4"/>
    </row>
    <row r="105" spans="2:29" hidden="1" x14ac:dyDescent="0.2">
      <c r="B105" s="4"/>
      <c r="C105" s="4"/>
      <c r="D105" s="4"/>
      <c r="H105" s="4"/>
      <c r="I105" s="4"/>
      <c r="J105" s="4"/>
      <c r="K105" s="4"/>
      <c r="L105" s="4"/>
      <c r="M105" s="4"/>
      <c r="N105" s="4"/>
      <c r="O105" s="4"/>
      <c r="P105" s="4"/>
      <c r="Q105" s="4"/>
      <c r="R105" s="4"/>
      <c r="S105" s="4"/>
      <c r="T105" s="4"/>
      <c r="U105" s="4"/>
      <c r="V105" s="4"/>
      <c r="W105" s="4"/>
      <c r="X105" s="4"/>
      <c r="Y105" s="4"/>
      <c r="Z105" s="4"/>
      <c r="AA105" s="4"/>
      <c r="AB105" s="4"/>
      <c r="AC105" s="4"/>
    </row>
    <row r="106" spans="2:29" hidden="1" x14ac:dyDescent="0.2">
      <c r="B106" s="4"/>
      <c r="C106" s="4"/>
      <c r="D106" s="4"/>
      <c r="H106" s="4"/>
      <c r="I106" s="4"/>
      <c r="J106" s="4"/>
      <c r="K106" s="4"/>
      <c r="L106" s="4"/>
      <c r="M106" s="4"/>
      <c r="N106" s="4"/>
      <c r="O106" s="4"/>
      <c r="P106" s="4"/>
      <c r="Q106" s="4"/>
      <c r="R106" s="4"/>
      <c r="S106" s="4"/>
      <c r="T106" s="4"/>
      <c r="U106" s="4"/>
      <c r="V106" s="4"/>
      <c r="W106" s="4"/>
      <c r="X106" s="4"/>
      <c r="Y106" s="4"/>
      <c r="Z106" s="4"/>
      <c r="AA106" s="4"/>
      <c r="AB106" s="4"/>
      <c r="AC106" s="4"/>
    </row>
    <row r="107" spans="2:29" hidden="1" x14ac:dyDescent="0.2">
      <c r="H107" s="4"/>
      <c r="I107" s="4"/>
      <c r="J107" s="4"/>
      <c r="K107" s="4"/>
      <c r="L107" s="4"/>
      <c r="M107" s="4"/>
      <c r="N107" s="4"/>
      <c r="O107" s="4"/>
      <c r="P107" s="4"/>
      <c r="Q107" s="4"/>
      <c r="R107" s="4"/>
      <c r="S107" s="4"/>
      <c r="T107" s="4"/>
      <c r="U107" s="4"/>
      <c r="V107" s="4"/>
      <c r="W107" s="4"/>
      <c r="X107" s="4"/>
      <c r="Y107" s="4"/>
      <c r="Z107" s="4"/>
      <c r="AA107" s="4"/>
      <c r="AB107" s="4"/>
      <c r="AC107" s="4"/>
    </row>
    <row r="108" spans="2:29" hidden="1" x14ac:dyDescent="0.2">
      <c r="H108" s="4"/>
      <c r="I108" s="4"/>
      <c r="J108" s="4"/>
      <c r="K108" s="4"/>
      <c r="L108" s="4"/>
      <c r="M108" s="4"/>
      <c r="N108" s="4"/>
      <c r="O108" s="4"/>
      <c r="P108" s="4"/>
      <c r="Q108" s="4"/>
      <c r="R108" s="4"/>
      <c r="S108" s="4"/>
      <c r="T108" s="4"/>
      <c r="U108" s="4"/>
      <c r="V108" s="4"/>
      <c r="W108" s="4"/>
      <c r="X108" s="4"/>
      <c r="Y108" s="4"/>
      <c r="Z108" s="4"/>
      <c r="AA108" s="4"/>
      <c r="AB108" s="4"/>
      <c r="AC108" s="4"/>
    </row>
    <row r="109" spans="2:29" hidden="1" x14ac:dyDescent="0.2">
      <c r="H109" s="4"/>
      <c r="I109" s="4"/>
      <c r="J109" s="4"/>
      <c r="K109" s="4"/>
      <c r="L109" s="4"/>
      <c r="M109" s="4"/>
      <c r="N109" s="4"/>
      <c r="O109" s="4"/>
      <c r="P109" s="4"/>
      <c r="Q109" s="4"/>
      <c r="R109" s="4"/>
      <c r="S109" s="4"/>
      <c r="T109" s="4"/>
      <c r="U109" s="4"/>
      <c r="V109" s="4"/>
      <c r="W109" s="4"/>
      <c r="X109" s="4"/>
      <c r="Y109" s="4"/>
      <c r="Z109" s="4"/>
      <c r="AA109" s="4"/>
      <c r="AB109" s="4"/>
      <c r="AC109" s="4"/>
    </row>
    <row r="110" spans="2:29" hidden="1" x14ac:dyDescent="0.2">
      <c r="H110" s="4"/>
      <c r="I110" s="4"/>
      <c r="J110" s="4"/>
      <c r="K110" s="4"/>
      <c r="L110" s="4"/>
      <c r="M110" s="4"/>
      <c r="N110" s="4"/>
      <c r="O110" s="4"/>
      <c r="P110" s="4"/>
      <c r="Q110" s="4"/>
      <c r="R110" s="4"/>
      <c r="S110" s="4"/>
      <c r="T110" s="4"/>
      <c r="U110" s="4"/>
      <c r="V110" s="4"/>
      <c r="W110" s="4"/>
      <c r="X110" s="4"/>
      <c r="Y110" s="4"/>
      <c r="Z110" s="4"/>
      <c r="AA110" s="4"/>
      <c r="AB110" s="4"/>
      <c r="AC110" s="4"/>
    </row>
    <row r="111" spans="2:29" hidden="1" x14ac:dyDescent="0.2">
      <c r="H111" s="4"/>
      <c r="I111" s="4"/>
      <c r="J111" s="4"/>
      <c r="K111" s="4"/>
      <c r="L111" s="4"/>
      <c r="M111" s="4"/>
      <c r="N111" s="4"/>
      <c r="O111" s="4"/>
      <c r="P111" s="4"/>
      <c r="Q111" s="4"/>
      <c r="R111" s="4"/>
      <c r="S111" s="4"/>
      <c r="T111" s="4"/>
      <c r="U111" s="4"/>
      <c r="V111" s="4"/>
      <c r="W111" s="4"/>
      <c r="X111" s="4"/>
      <c r="Y111" s="4"/>
      <c r="Z111" s="4"/>
      <c r="AA111" s="4"/>
      <c r="AB111" s="4"/>
      <c r="AC111" s="4"/>
    </row>
    <row r="112" spans="2:29" hidden="1" x14ac:dyDescent="0.2">
      <c r="H112" s="4"/>
      <c r="I112" s="4"/>
      <c r="J112" s="4"/>
      <c r="K112" s="4"/>
      <c r="L112" s="4"/>
      <c r="M112" s="4"/>
      <c r="N112" s="4"/>
      <c r="O112" s="4"/>
      <c r="P112" s="4"/>
      <c r="Q112" s="4"/>
      <c r="R112" s="4"/>
      <c r="S112" s="4"/>
      <c r="T112" s="4"/>
      <c r="U112" s="4"/>
      <c r="V112" s="4"/>
      <c r="W112" s="4"/>
      <c r="X112" s="4"/>
      <c r="Y112" s="4"/>
      <c r="Z112" s="4"/>
      <c r="AA112" s="4"/>
      <c r="AB112" s="4"/>
      <c r="AC112" s="4"/>
    </row>
    <row r="113" spans="5:31" ht="10.5" hidden="1" customHeight="1" x14ac:dyDescent="0.2">
      <c r="H113" s="4"/>
      <c r="I113" s="4"/>
      <c r="J113" s="4"/>
      <c r="K113" s="4"/>
      <c r="L113" s="4"/>
      <c r="M113" s="4"/>
      <c r="N113" s="4"/>
      <c r="O113" s="4"/>
      <c r="P113" s="4"/>
      <c r="Q113" s="4"/>
      <c r="R113" s="4"/>
      <c r="S113" s="4"/>
      <c r="T113" s="4"/>
      <c r="U113" s="4"/>
      <c r="V113" s="4"/>
      <c r="W113" s="4"/>
      <c r="X113" s="4"/>
      <c r="Y113" s="4"/>
      <c r="Z113" s="4"/>
      <c r="AA113" s="4"/>
      <c r="AB113" s="4"/>
      <c r="AC113" s="4"/>
    </row>
    <row r="114" spans="5:31" hidden="1" x14ac:dyDescent="0.2">
      <c r="H114" s="4"/>
      <c r="I114" s="4"/>
      <c r="J114" s="4"/>
      <c r="K114" s="4"/>
      <c r="L114" s="4"/>
      <c r="M114" s="4"/>
      <c r="N114" s="4"/>
      <c r="O114" s="4"/>
      <c r="P114" s="4"/>
      <c r="Q114" s="4"/>
      <c r="R114" s="4"/>
      <c r="S114" s="4"/>
      <c r="T114" s="4"/>
      <c r="U114" s="4"/>
      <c r="V114" s="4"/>
      <c r="W114" s="4"/>
      <c r="X114" s="4"/>
      <c r="Y114" s="4"/>
      <c r="Z114" s="4"/>
      <c r="AA114" s="4"/>
      <c r="AB114" s="4"/>
      <c r="AC114" s="4"/>
    </row>
    <row r="115" spans="5:31" hidden="1" x14ac:dyDescent="0.2">
      <c r="E115" s="17" t="s">
        <v>82</v>
      </c>
      <c r="G115" s="15" t="s">
        <v>81</v>
      </c>
      <c r="J115" s="25" t="s">
        <v>128</v>
      </c>
      <c r="K115" s="4"/>
      <c r="L115" s="4"/>
      <c r="N115" s="30" t="s">
        <v>276</v>
      </c>
      <c r="O115" s="4"/>
      <c r="P115" s="4"/>
      <c r="Q115" s="4"/>
      <c r="R115" s="30" t="s">
        <v>277</v>
      </c>
      <c r="S115" s="4"/>
      <c r="T115" s="4"/>
      <c r="U115" s="4"/>
      <c r="V115" s="30" t="s">
        <v>278</v>
      </c>
      <c r="W115" s="4"/>
      <c r="X115" s="4"/>
      <c r="Y115" s="25" t="s">
        <v>458</v>
      </c>
      <c r="Z115" s="4"/>
      <c r="AA115" s="4"/>
      <c r="AB115" s="4"/>
      <c r="AC115" s="7"/>
      <c r="AD115" s="4"/>
      <c r="AE115" s="4"/>
    </row>
    <row r="116" spans="5:31" hidden="1" x14ac:dyDescent="0.2">
      <c r="E116" s="16" t="s">
        <v>1</v>
      </c>
      <c r="G116" s="16" t="str">
        <f>IF(General!B11="","",General!B11)</f>
        <v>No_Beam</v>
      </c>
      <c r="J116" s="31" t="str">
        <f>IF(General!B42="","",General!B42)</f>
        <v>St37</v>
      </c>
      <c r="K116" s="4"/>
      <c r="L116" s="4"/>
      <c r="M116" s="7"/>
      <c r="N116" s="31" t="s">
        <v>275</v>
      </c>
      <c r="O116" s="4"/>
      <c r="P116" s="4"/>
      <c r="Q116" s="4"/>
      <c r="R116" s="31" t="s">
        <v>285</v>
      </c>
      <c r="S116" s="4"/>
      <c r="T116" s="4"/>
      <c r="U116" s="4"/>
      <c r="V116" s="31" t="s">
        <v>279</v>
      </c>
      <c r="W116" s="4"/>
      <c r="X116" s="4"/>
      <c r="Y116" s="31" t="s">
        <v>457</v>
      </c>
      <c r="Z116" s="4"/>
      <c r="AA116" s="4"/>
      <c r="AB116" s="4"/>
      <c r="AC116" s="7"/>
      <c r="AD116" s="4"/>
      <c r="AE116" s="4"/>
    </row>
    <row r="117" spans="5:31" hidden="1" x14ac:dyDescent="0.2">
      <c r="E117" s="8" t="s">
        <v>0</v>
      </c>
      <c r="G117" s="16" t="str">
        <f>IF(General!B12="","",General!B12)</f>
        <v>HE240B</v>
      </c>
      <c r="J117" s="31" t="str">
        <f>IF(General!B43="","",General!B43)</f>
        <v>St44</v>
      </c>
      <c r="K117" s="4"/>
      <c r="L117" s="4"/>
      <c r="M117" s="7"/>
      <c r="N117" s="31" t="s">
        <v>281</v>
      </c>
      <c r="O117" s="4"/>
      <c r="P117" s="4"/>
      <c r="Q117" s="4"/>
      <c r="R117" s="31" t="s">
        <v>286</v>
      </c>
      <c r="S117" s="4"/>
      <c r="T117" s="4"/>
      <c r="U117" s="4"/>
      <c r="V117" s="31" t="s">
        <v>289</v>
      </c>
      <c r="W117" s="4"/>
      <c r="X117" s="4"/>
      <c r="Y117" s="31" t="s">
        <v>459</v>
      </c>
      <c r="Z117" s="4"/>
      <c r="AA117" s="4"/>
      <c r="AB117" s="4"/>
      <c r="AC117" s="7"/>
      <c r="AD117" s="4"/>
      <c r="AE117" s="4"/>
    </row>
    <row r="118" spans="5:31" hidden="1" x14ac:dyDescent="0.2">
      <c r="E118" s="9" t="s">
        <v>2</v>
      </c>
      <c r="G118" s="16" t="str">
        <f>IF(General!B13="","",General!B13)</f>
        <v>HE400B</v>
      </c>
      <c r="J118" s="31" t="str">
        <f>IF(General!B44="","",General!B44)</f>
        <v>St52</v>
      </c>
      <c r="K118" s="4"/>
      <c r="L118" s="4"/>
      <c r="M118" s="7"/>
      <c r="N118" s="31" t="s">
        <v>282</v>
      </c>
      <c r="O118" s="4"/>
      <c r="P118" s="4"/>
      <c r="Q118" s="4"/>
      <c r="R118" s="31" t="s">
        <v>287</v>
      </c>
      <c r="S118" s="4"/>
      <c r="T118" s="4"/>
      <c r="U118" s="4"/>
      <c r="V118" s="4"/>
      <c r="W118" s="4"/>
      <c r="X118" s="4"/>
      <c r="Y118" s="4"/>
      <c r="Z118" s="4"/>
      <c r="AA118" s="4"/>
      <c r="AB118" s="4"/>
      <c r="AC118" s="7"/>
      <c r="AD118" s="4"/>
      <c r="AE118" s="4"/>
    </row>
    <row r="119" spans="5:31" hidden="1" x14ac:dyDescent="0.2">
      <c r="E119" s="10" t="s">
        <v>3</v>
      </c>
      <c r="G119" s="16" t="str">
        <f>IF(General!B14="","",General!B14)</f>
        <v>HE600B</v>
      </c>
      <c r="J119" s="31" t="str">
        <f>IF(General!B45="","",General!B45)</f>
        <v/>
      </c>
      <c r="K119" s="4"/>
      <c r="L119" s="4"/>
      <c r="M119" s="7"/>
      <c r="N119" s="31" t="s">
        <v>283</v>
      </c>
      <c r="O119" s="4"/>
      <c r="P119" s="4"/>
      <c r="Q119" s="4"/>
      <c r="R119" s="31" t="s">
        <v>288</v>
      </c>
      <c r="S119" s="4"/>
      <c r="T119" s="4"/>
      <c r="U119" s="4"/>
      <c r="V119" s="4"/>
      <c r="W119" s="4"/>
      <c r="X119" s="4"/>
      <c r="Y119" s="4"/>
      <c r="Z119" s="4"/>
      <c r="AA119" s="4"/>
      <c r="AB119" s="4"/>
      <c r="AC119" s="7"/>
      <c r="AD119" s="4"/>
      <c r="AE119" s="4"/>
    </row>
    <row r="120" spans="5:31" hidden="1" x14ac:dyDescent="0.2">
      <c r="G120" s="16" t="str">
        <f>IF(General!B15="","",General!B15)</f>
        <v>HE800B</v>
      </c>
      <c r="J120" s="31" t="str">
        <f>IF(General!B46="","",General!B46)</f>
        <v/>
      </c>
      <c r="K120" s="4"/>
      <c r="L120" s="4"/>
      <c r="M120" s="7"/>
      <c r="N120" s="31" t="s">
        <v>284</v>
      </c>
      <c r="O120" s="4"/>
      <c r="P120" s="4"/>
      <c r="Q120" s="4"/>
      <c r="R120" s="4"/>
      <c r="S120" s="4"/>
      <c r="T120" s="4"/>
      <c r="U120" s="4"/>
      <c r="V120" s="4"/>
      <c r="W120" s="4"/>
      <c r="X120" s="4"/>
      <c r="Y120" s="4"/>
      <c r="Z120" s="4"/>
      <c r="AA120" s="4"/>
      <c r="AB120" s="4"/>
      <c r="AC120" s="7"/>
      <c r="AD120" s="4"/>
      <c r="AE120" s="4"/>
    </row>
    <row r="121" spans="5:31" hidden="1" x14ac:dyDescent="0.2">
      <c r="E121" s="4" t="s">
        <v>109</v>
      </c>
      <c r="G121" s="16" t="str">
        <f>IF(General!B16="","",General!B16)</f>
        <v>HE1000B</v>
      </c>
      <c r="J121" s="31" t="str">
        <f>IF(General!B47="","",General!B47)</f>
        <v/>
      </c>
      <c r="K121" s="4"/>
      <c r="L121" s="4"/>
      <c r="M121" s="7"/>
      <c r="N121" s="7"/>
      <c r="O121" s="4"/>
      <c r="P121" s="4"/>
      <c r="Q121" s="4"/>
      <c r="R121" s="4"/>
      <c r="S121" s="4"/>
      <c r="T121" s="4"/>
      <c r="U121" s="4"/>
      <c r="V121" s="4"/>
      <c r="W121" s="4"/>
      <c r="X121" s="4"/>
      <c r="Y121" s="4"/>
      <c r="Z121" s="4"/>
      <c r="AA121" s="4"/>
      <c r="AB121" s="4"/>
      <c r="AC121" s="7"/>
      <c r="AD121" s="4"/>
      <c r="AE121" s="4"/>
    </row>
    <row r="122" spans="5:31" hidden="1" x14ac:dyDescent="0.2">
      <c r="E122" s="8" t="s">
        <v>70</v>
      </c>
      <c r="G122" s="16" t="str">
        <f>IF(General!B17="","",General!B17)</f>
        <v>IPE300</v>
      </c>
      <c r="J122" s="31" t="str">
        <f>IF(General!B48="","",General!B48)</f>
        <v/>
      </c>
      <c r="K122" s="4"/>
      <c r="L122" s="4"/>
      <c r="M122" s="7"/>
      <c r="N122" s="7"/>
      <c r="O122" s="4"/>
      <c r="P122" s="4"/>
      <c r="Q122" s="4"/>
      <c r="R122" s="4"/>
      <c r="S122" s="4"/>
      <c r="T122" s="4"/>
      <c r="U122" s="4"/>
      <c r="V122" s="4"/>
      <c r="W122" s="4"/>
      <c r="X122" s="4"/>
      <c r="Y122" s="4"/>
      <c r="Z122" s="4"/>
      <c r="AA122" s="4"/>
      <c r="AB122" s="4"/>
      <c r="AC122" s="7"/>
      <c r="AD122" s="4"/>
      <c r="AE122" s="4"/>
    </row>
    <row r="123" spans="5:31" hidden="1" x14ac:dyDescent="0.2">
      <c r="G123" s="16" t="str">
        <f>IF(General!B18="","",General!B18)</f>
        <v>IPE400</v>
      </c>
      <c r="J123" s="7"/>
      <c r="K123" s="4"/>
      <c r="L123" s="4"/>
      <c r="M123" s="7"/>
      <c r="N123" s="7"/>
      <c r="O123" s="4"/>
      <c r="P123" s="4"/>
      <c r="Q123" s="4"/>
      <c r="R123" s="4"/>
      <c r="S123" s="4"/>
      <c r="T123" s="4"/>
      <c r="U123" s="4"/>
      <c r="V123" s="4"/>
      <c r="W123" s="4"/>
      <c r="X123" s="4"/>
      <c r="Y123" s="4"/>
      <c r="Z123" s="4"/>
      <c r="AA123" s="4"/>
      <c r="AB123" s="4"/>
      <c r="AC123" s="7"/>
      <c r="AD123" s="4"/>
      <c r="AE123" s="4"/>
    </row>
    <row r="124" spans="5:31" hidden="1" x14ac:dyDescent="0.2">
      <c r="G124" s="16" t="str">
        <f>IF(General!B19="","",General!B19)</f>
        <v>IPE500</v>
      </c>
      <c r="J124" s="7"/>
      <c r="L124" s="4"/>
      <c r="M124" s="7"/>
      <c r="N124" s="7"/>
      <c r="O124" s="4"/>
      <c r="P124" s="4"/>
      <c r="R124" s="4"/>
      <c r="S124" s="4"/>
      <c r="T124" s="4"/>
      <c r="U124" s="4"/>
      <c r="V124" s="4"/>
      <c r="W124" s="4"/>
      <c r="X124" s="4"/>
      <c r="Y124" s="4"/>
      <c r="Z124" s="4"/>
      <c r="AA124" s="4"/>
      <c r="AB124" s="4"/>
      <c r="AC124" s="7"/>
    </row>
    <row r="125" spans="5:31" hidden="1" x14ac:dyDescent="0.2">
      <c r="E125" s="25" t="s">
        <v>122</v>
      </c>
      <c r="G125" s="16" t="str">
        <f>IF(General!B20="","",General!B20)</f>
        <v>IPE600</v>
      </c>
      <c r="J125" s="7"/>
      <c r="L125" s="4"/>
      <c r="M125" s="7"/>
      <c r="N125" s="7"/>
      <c r="O125" s="4"/>
      <c r="P125" s="4"/>
      <c r="R125" s="4"/>
      <c r="S125" s="4"/>
      <c r="T125" s="4"/>
      <c r="U125" s="4"/>
      <c r="V125" s="4"/>
      <c r="W125" s="4"/>
      <c r="X125" s="4"/>
      <c r="Y125" s="4"/>
      <c r="Z125" s="4"/>
      <c r="AA125" s="4"/>
      <c r="AB125" s="4"/>
      <c r="AC125" s="7"/>
    </row>
    <row r="126" spans="5:31" hidden="1" x14ac:dyDescent="0.2">
      <c r="E126" s="4" t="s">
        <v>120</v>
      </c>
      <c r="G126" s="16" t="str">
        <f>IF(General!B21="","",General!B21)</f>
        <v>//</v>
      </c>
      <c r="J126" s="7"/>
      <c r="L126" s="4"/>
      <c r="M126" s="7"/>
      <c r="N126" s="7"/>
      <c r="O126" s="4"/>
      <c r="P126" s="4"/>
      <c r="R126" s="4"/>
      <c r="S126" s="4"/>
      <c r="T126" s="4"/>
      <c r="U126" s="4"/>
      <c r="V126" s="4"/>
      <c r="W126" s="4"/>
      <c r="X126" s="4"/>
      <c r="Y126" s="4"/>
      <c r="Z126" s="4"/>
      <c r="AA126" s="4"/>
      <c r="AB126" s="4"/>
      <c r="AC126" s="7"/>
    </row>
    <row r="127" spans="5:31" hidden="1" x14ac:dyDescent="0.2">
      <c r="E127" s="4" t="s">
        <v>123</v>
      </c>
      <c r="G127" s="16" t="str">
        <f>IF(General!B22="","",General!B22)</f>
        <v>P508x19</v>
      </c>
      <c r="J127" s="7"/>
      <c r="L127" s="4"/>
      <c r="M127" s="7"/>
      <c r="N127" s="7"/>
      <c r="O127" s="4"/>
      <c r="P127" s="4"/>
      <c r="R127" s="4"/>
      <c r="S127" s="4"/>
      <c r="T127" s="4"/>
      <c r="U127" s="4"/>
      <c r="V127" s="4"/>
      <c r="W127" s="4"/>
      <c r="X127" s="4"/>
      <c r="Y127" s="4"/>
      <c r="Z127" s="4"/>
      <c r="AA127" s="4"/>
      <c r="AB127" s="4"/>
      <c r="AC127" s="7"/>
    </row>
    <row r="128" spans="5:31" hidden="1" x14ac:dyDescent="0.2">
      <c r="E128" s="4" t="s">
        <v>124</v>
      </c>
      <c r="G128" s="16" t="str">
        <f>IF(General!B23="","",General!B23)</f>
        <v>P600x20</v>
      </c>
      <c r="J128" s="7"/>
      <c r="L128" s="4"/>
      <c r="M128" s="7"/>
      <c r="N128" s="7"/>
      <c r="O128" s="4"/>
      <c r="P128" s="4"/>
      <c r="R128" s="4"/>
      <c r="S128" s="4"/>
      <c r="T128" s="4"/>
      <c r="U128" s="4"/>
      <c r="V128" s="4"/>
      <c r="W128" s="4"/>
      <c r="X128" s="4"/>
      <c r="Y128" s="4"/>
      <c r="Z128" s="4"/>
      <c r="AA128" s="4"/>
      <c r="AB128" s="4"/>
      <c r="AC128" s="7"/>
    </row>
    <row r="129" spans="7:29" hidden="1" x14ac:dyDescent="0.2">
      <c r="G129" s="16" t="str">
        <f>IF(General!B24="","",General!B24)</f>
        <v>P700x30</v>
      </c>
      <c r="L129" s="4"/>
      <c r="M129" s="7"/>
      <c r="N129" s="7"/>
      <c r="O129" s="4"/>
      <c r="P129" s="4"/>
      <c r="R129" s="4"/>
      <c r="S129" s="4"/>
      <c r="T129" s="4"/>
      <c r="U129" s="4"/>
      <c r="V129" s="4"/>
      <c r="W129" s="4"/>
      <c r="X129" s="4"/>
      <c r="Y129" s="4"/>
      <c r="Z129" s="4"/>
      <c r="AA129" s="4"/>
      <c r="AB129" s="4"/>
      <c r="AC129" s="7"/>
    </row>
    <row r="130" spans="7:29" hidden="1" x14ac:dyDescent="0.2">
      <c r="G130" s="16" t="str">
        <f>IF(General!B25="","",General!B25)</f>
        <v>P900x40</v>
      </c>
    </row>
    <row r="131" spans="7:29" hidden="1" x14ac:dyDescent="0.2">
      <c r="G131" s="16" t="str">
        <f>IF(General!B26="","",General!B26)</f>
        <v>P1400x40</v>
      </c>
    </row>
    <row r="132" spans="7:29" hidden="1" x14ac:dyDescent="0.2">
      <c r="G132" s="16" t="str">
        <f>IF(General!B27="","",General!B27)</f>
        <v>P1800x50</v>
      </c>
    </row>
    <row r="133" spans="7:29" hidden="1" x14ac:dyDescent="0.2">
      <c r="G133" s="16" t="str">
        <f>IF(General!B28="","",General!B28)</f>
        <v>//</v>
      </c>
    </row>
    <row r="134" spans="7:29" hidden="1" x14ac:dyDescent="0.2">
      <c r="G134" s="16" t="str">
        <f>IF(General!B29="","",General!B29)</f>
        <v>Plate_10</v>
      </c>
    </row>
    <row r="135" spans="7:29" hidden="1" x14ac:dyDescent="0.2">
      <c r="G135" s="16" t="str">
        <f>IF(General!B30="","",General!B30)</f>
        <v>Plate_15</v>
      </c>
    </row>
    <row r="136" spans="7:29" hidden="1" x14ac:dyDescent="0.2">
      <c r="G136" s="16" t="str">
        <f>IF(General!B31="","",General!B31)</f>
        <v>Plate_20</v>
      </c>
    </row>
    <row r="137" spans="7:29" hidden="1" x14ac:dyDescent="0.2">
      <c r="G137" s="16" t="str">
        <f>IF(General!B32="","",General!B32)</f>
        <v/>
      </c>
    </row>
    <row r="138" spans="7:29" hidden="1" x14ac:dyDescent="0.2">
      <c r="G138" s="16" t="str">
        <f>IF(General!B33="","",General!B33)</f>
        <v/>
      </c>
    </row>
    <row r="139" spans="7:29" hidden="1" x14ac:dyDescent="0.2">
      <c r="G139" s="16" t="str">
        <f>IF(General!B34="","",General!B34)</f>
        <v/>
      </c>
    </row>
    <row r="140" spans="7:29" hidden="1" x14ac:dyDescent="0.2">
      <c r="G140" s="16" t="str">
        <f>IF(General!B35="","",General!B35)</f>
        <v/>
      </c>
    </row>
    <row r="141" spans="7:29" hidden="1" x14ac:dyDescent="0.2">
      <c r="G141" s="16" t="str">
        <f>IF(General!B36="","",General!B36)</f>
        <v/>
      </c>
    </row>
    <row r="142" spans="7:29" hidden="1" x14ac:dyDescent="0.2">
      <c r="G142" s="16" t="str">
        <f>IF(General!B37="","",General!B37)</f>
        <v/>
      </c>
    </row>
    <row r="143" spans="7:29" hidden="1" x14ac:dyDescent="0.2">
      <c r="G143" s="3"/>
    </row>
    <row r="144" spans="7:29" hidden="1" x14ac:dyDescent="0.2"/>
    <row r="145" hidden="1" x14ac:dyDescent="0.2"/>
    <row r="146" hidden="1" x14ac:dyDescent="0.2"/>
    <row r="147" hidden="1" x14ac:dyDescent="0.2"/>
    <row r="148" hidden="1" x14ac:dyDescent="0.2"/>
    <row r="149" hidden="1" x14ac:dyDescent="0.2"/>
    <row r="150" hidden="1" x14ac:dyDescent="0.2"/>
    <row r="151" hidden="1" x14ac:dyDescent="0.2"/>
    <row r="152" hidden="1" x14ac:dyDescent="0.2"/>
    <row r="153" hidden="1" x14ac:dyDescent="0.2"/>
  </sheetData>
  <sheetProtection password="F507" sheet="1" objects="1" scenarios="1"/>
  <protectedRanges>
    <protectedRange sqref="C3" name="Range3"/>
    <protectedRange sqref="C8:C18 G94:G103 D8:D19 F94:F105 D21 C20:C26 C46:C49" name="Range1"/>
    <protectedRange sqref="AE10:AE15 AK47:BN49 AK25 F27:AE28 E49 AE32:AE39 F51:AE51 D59:D61 D55:D57 G50:AE50 F49:F50 G49:AF49 AL50:BN50 E47:AF48 AL25:BN26 AK23:BN24 E23:AF24 D63:D68" name="Range2"/>
  </protectedRanges>
  <mergeCells count="482">
    <mergeCell ref="BD26:BE26"/>
    <mergeCell ref="BL26:BM26"/>
    <mergeCell ref="BJ26:BK26"/>
    <mergeCell ref="BH26:BI26"/>
    <mergeCell ref="BF26:BG26"/>
    <mergeCell ref="BM24:BN24"/>
    <mergeCell ref="BM25:BN25"/>
    <mergeCell ref="BE24:BF24"/>
    <mergeCell ref="BG24:BH24"/>
    <mergeCell ref="BI24:BJ24"/>
    <mergeCell ref="BK24:BL24"/>
    <mergeCell ref="BE25:BF25"/>
    <mergeCell ref="BG25:BH25"/>
    <mergeCell ref="BI25:BJ25"/>
    <mergeCell ref="BK25:BL25"/>
    <mergeCell ref="BM22:BN22"/>
    <mergeCell ref="BE23:BF23"/>
    <mergeCell ref="BG23:BH23"/>
    <mergeCell ref="BI23:BJ23"/>
    <mergeCell ref="BK23:BL23"/>
    <mergeCell ref="BM23:BN23"/>
    <mergeCell ref="BE22:BF22"/>
    <mergeCell ref="BG22:BH22"/>
    <mergeCell ref="BI22:BJ22"/>
    <mergeCell ref="BK22:BL22"/>
    <mergeCell ref="AE48:AF48"/>
    <mergeCell ref="AK48:AL48"/>
    <mergeCell ref="AM48:AN48"/>
    <mergeCell ref="AY48:AZ48"/>
    <mergeCell ref="BA48:BB48"/>
    <mergeCell ref="BC48:BD48"/>
    <mergeCell ref="AY24:AZ24"/>
    <mergeCell ref="E48:F48"/>
    <mergeCell ref="G48:H48"/>
    <mergeCell ref="I48:J48"/>
    <mergeCell ref="K48:L48"/>
    <mergeCell ref="M48:N48"/>
    <mergeCell ref="O48:P48"/>
    <mergeCell ref="W48:X48"/>
    <mergeCell ref="Y48:Z48"/>
    <mergeCell ref="AA48:AB48"/>
    <mergeCell ref="J26:K26"/>
    <mergeCell ref="D85:F85"/>
    <mergeCell ref="D86:F86"/>
    <mergeCell ref="D81:F81"/>
    <mergeCell ref="D82:F82"/>
    <mergeCell ref="D83:F83"/>
    <mergeCell ref="D84:F84"/>
    <mergeCell ref="D33:D34"/>
    <mergeCell ref="D43:D44"/>
    <mergeCell ref="Q24:R24"/>
    <mergeCell ref="B54:C54"/>
    <mergeCell ref="B40:B41"/>
    <mergeCell ref="B42:B43"/>
    <mergeCell ref="B44:B45"/>
    <mergeCell ref="B32:B33"/>
    <mergeCell ref="B55:C55"/>
    <mergeCell ref="D54:F54"/>
    <mergeCell ref="D55:F55"/>
    <mergeCell ref="F26:G26"/>
    <mergeCell ref="H26:I26"/>
    <mergeCell ref="Q22:R22"/>
    <mergeCell ref="N27:O27"/>
    <mergeCell ref="P27:Q27"/>
    <mergeCell ref="R27:S27"/>
    <mergeCell ref="B38:B39"/>
    <mergeCell ref="S22:T22"/>
    <mergeCell ref="Q23:R23"/>
    <mergeCell ref="K24:L24"/>
    <mergeCell ref="S24:T24"/>
    <mergeCell ref="L26:M26"/>
    <mergeCell ref="N26:O26"/>
    <mergeCell ref="P26:Q26"/>
    <mergeCell ref="K22:L22"/>
    <mergeCell ref="O25:P25"/>
    <mergeCell ref="Q25:R25"/>
    <mergeCell ref="X27:Y27"/>
    <mergeCell ref="J27:K27"/>
    <mergeCell ref="I7:J7"/>
    <mergeCell ref="E22:F22"/>
    <mergeCell ref="G22:H22"/>
    <mergeCell ref="I22:J22"/>
    <mergeCell ref="E7:F7"/>
    <mergeCell ref="G7:H7"/>
    <mergeCell ref="R26:S26"/>
    <mergeCell ref="T26:U26"/>
    <mergeCell ref="V27:W27"/>
    <mergeCell ref="I23:J23"/>
    <mergeCell ref="K23:L23"/>
    <mergeCell ref="M23:N23"/>
    <mergeCell ref="O23:P23"/>
    <mergeCell ref="S23:T23"/>
    <mergeCell ref="U23:V23"/>
    <mergeCell ref="S25:T25"/>
    <mergeCell ref="K25:L25"/>
    <mergeCell ref="M25:N25"/>
    <mergeCell ref="B56:C56"/>
    <mergeCell ref="B57:C57"/>
    <mergeCell ref="B58:C58"/>
    <mergeCell ref="B59:C59"/>
    <mergeCell ref="F27:G27"/>
    <mergeCell ref="G23:H23"/>
    <mergeCell ref="H27:I27"/>
    <mergeCell ref="E24:F24"/>
    <mergeCell ref="G24:H24"/>
    <mergeCell ref="I24:J24"/>
    <mergeCell ref="C20:C21"/>
    <mergeCell ref="C10:C11"/>
    <mergeCell ref="C8:C9"/>
    <mergeCell ref="D11:D12"/>
    <mergeCell ref="G25:H25"/>
    <mergeCell ref="E25:F25"/>
    <mergeCell ref="C18:C19"/>
    <mergeCell ref="C16:C17"/>
    <mergeCell ref="C14:C15"/>
    <mergeCell ref="D19:D20"/>
    <mergeCell ref="M22:N22"/>
    <mergeCell ref="O22:P22"/>
    <mergeCell ref="I25:J25"/>
    <mergeCell ref="D15:D16"/>
    <mergeCell ref="D13:D14"/>
    <mergeCell ref="E23:F23"/>
    <mergeCell ref="D17:D18"/>
    <mergeCell ref="M24:N24"/>
    <mergeCell ref="O24:P24"/>
    <mergeCell ref="B62:C62"/>
    <mergeCell ref="B60:C60"/>
    <mergeCell ref="T27:U27"/>
    <mergeCell ref="K7:L7"/>
    <mergeCell ref="M7:N7"/>
    <mergeCell ref="O7:P7"/>
    <mergeCell ref="Q7:R7"/>
    <mergeCell ref="S7:T7"/>
    <mergeCell ref="U7:V7"/>
    <mergeCell ref="L27:M27"/>
    <mergeCell ref="AE7:AF7"/>
    <mergeCell ref="V26:W26"/>
    <mergeCell ref="AB27:AC27"/>
    <mergeCell ref="AD27:AE27"/>
    <mergeCell ref="Y22:Z22"/>
    <mergeCell ref="AA22:AB22"/>
    <mergeCell ref="AC22:AD22"/>
    <mergeCell ref="AE22:AF22"/>
    <mergeCell ref="Y23:Z23"/>
    <mergeCell ref="AA23:AB23"/>
    <mergeCell ref="Y7:Z7"/>
    <mergeCell ref="AA7:AB7"/>
    <mergeCell ref="AC7:AD7"/>
    <mergeCell ref="X26:Y26"/>
    <mergeCell ref="Z26:AA26"/>
    <mergeCell ref="AB26:AC26"/>
    <mergeCell ref="AD26:AE26"/>
    <mergeCell ref="W7:X7"/>
    <mergeCell ref="AE24:AF24"/>
    <mergeCell ref="W23:X23"/>
    <mergeCell ref="D9:D10"/>
    <mergeCell ref="B34:B35"/>
    <mergeCell ref="B36:B37"/>
    <mergeCell ref="C32:C33"/>
    <mergeCell ref="C34:C35"/>
    <mergeCell ref="D39:D40"/>
    <mergeCell ref="D37:D38"/>
    <mergeCell ref="C38:C39"/>
    <mergeCell ref="C40:C41"/>
    <mergeCell ref="C12:C13"/>
    <mergeCell ref="C42:C43"/>
    <mergeCell ref="C44:C45"/>
    <mergeCell ref="C36:C37"/>
    <mergeCell ref="D35:D36"/>
    <mergeCell ref="E47:F47"/>
    <mergeCell ref="F51:G51"/>
    <mergeCell ref="D41:D42"/>
    <mergeCell ref="E31:F31"/>
    <mergeCell ref="G31:H31"/>
    <mergeCell ref="G47:H47"/>
    <mergeCell ref="H51:I51"/>
    <mergeCell ref="E46:F46"/>
    <mergeCell ref="E49:F49"/>
    <mergeCell ref="F50:G50"/>
    <mergeCell ref="G46:H46"/>
    <mergeCell ref="G49:H49"/>
    <mergeCell ref="I47:J47"/>
    <mergeCell ref="B64:C64"/>
    <mergeCell ref="B65:C65"/>
    <mergeCell ref="B66:C66"/>
    <mergeCell ref="D56:F56"/>
    <mergeCell ref="D57:F57"/>
    <mergeCell ref="D58:F58"/>
    <mergeCell ref="D59:F59"/>
    <mergeCell ref="D61:F61"/>
    <mergeCell ref="B61:C61"/>
    <mergeCell ref="D66:F66"/>
    <mergeCell ref="B71:C71"/>
    <mergeCell ref="B72:C72"/>
    <mergeCell ref="B67:C67"/>
    <mergeCell ref="B68:C68"/>
    <mergeCell ref="B69:C69"/>
    <mergeCell ref="B70:C70"/>
    <mergeCell ref="B73:C73"/>
    <mergeCell ref="B76:C76"/>
    <mergeCell ref="B74:C74"/>
    <mergeCell ref="B78:C78"/>
    <mergeCell ref="B75:C75"/>
    <mergeCell ref="B77:C77"/>
    <mergeCell ref="B83:C83"/>
    <mergeCell ref="B84:C84"/>
    <mergeCell ref="B85:C85"/>
    <mergeCell ref="B86:C86"/>
    <mergeCell ref="B79:C79"/>
    <mergeCell ref="B80:C80"/>
    <mergeCell ref="B81:C81"/>
    <mergeCell ref="B82:C82"/>
    <mergeCell ref="D67:F67"/>
    <mergeCell ref="D68:F68"/>
    <mergeCell ref="D69:F69"/>
    <mergeCell ref="D62:F62"/>
    <mergeCell ref="D60:F60"/>
    <mergeCell ref="D64:F64"/>
    <mergeCell ref="D65:F65"/>
    <mergeCell ref="D70:F70"/>
    <mergeCell ref="D71:F71"/>
    <mergeCell ref="AH12:AH13"/>
    <mergeCell ref="AH14:AH15"/>
    <mergeCell ref="AH16:AH17"/>
    <mergeCell ref="AH18:AH19"/>
    <mergeCell ref="AE47:AF47"/>
    <mergeCell ref="Q47:R47"/>
    <mergeCell ref="S47:T47"/>
    <mergeCell ref="U47:V47"/>
    <mergeCell ref="K47:L47"/>
    <mergeCell ref="M47:N47"/>
    <mergeCell ref="O47:P47"/>
    <mergeCell ref="AA47:AB47"/>
    <mergeCell ref="AC47:AD47"/>
    <mergeCell ref="T51:U51"/>
    <mergeCell ref="V51:W51"/>
    <mergeCell ref="X51:Y51"/>
    <mergeCell ref="P50:Q50"/>
    <mergeCell ref="Q48:R48"/>
    <mergeCell ref="AH8:AH9"/>
    <mergeCell ref="AH10:AH11"/>
    <mergeCell ref="AH20:AH21"/>
    <mergeCell ref="Z27:AA27"/>
    <mergeCell ref="AC23:AD23"/>
    <mergeCell ref="AE23:AF23"/>
    <mergeCell ref="AZ50:BA50"/>
    <mergeCell ref="AL50:AM50"/>
    <mergeCell ref="AP50:AQ50"/>
    <mergeCell ref="AR50:AS50"/>
    <mergeCell ref="W47:X47"/>
    <mergeCell ref="J51:K51"/>
    <mergeCell ref="L51:M51"/>
    <mergeCell ref="N51:O51"/>
    <mergeCell ref="P51:Q51"/>
    <mergeCell ref="R51:S51"/>
    <mergeCell ref="I31:J31"/>
    <mergeCell ref="K31:L31"/>
    <mergeCell ref="M31:N31"/>
    <mergeCell ref="Q31:R31"/>
    <mergeCell ref="O31:P31"/>
    <mergeCell ref="I46:J46"/>
    <mergeCell ref="AQ48:AR48"/>
    <mergeCell ref="AS48:AT48"/>
    <mergeCell ref="AU48:AV48"/>
    <mergeCell ref="AW48:AX48"/>
    <mergeCell ref="S31:T31"/>
    <mergeCell ref="U31:V31"/>
    <mergeCell ref="W31:X31"/>
    <mergeCell ref="Y31:Z31"/>
    <mergeCell ref="S46:T46"/>
    <mergeCell ref="U46:V46"/>
    <mergeCell ref="BC49:BD49"/>
    <mergeCell ref="AS49:AT49"/>
    <mergeCell ref="AU49:AV49"/>
    <mergeCell ref="AW49:AX49"/>
    <mergeCell ref="AE31:AF31"/>
    <mergeCell ref="BA47:BB47"/>
    <mergeCell ref="BC47:BD47"/>
    <mergeCell ref="BA49:BB49"/>
    <mergeCell ref="AY49:AZ49"/>
    <mergeCell ref="AO48:AP48"/>
    <mergeCell ref="AC31:AD31"/>
    <mergeCell ref="AC46:AD46"/>
    <mergeCell ref="X50:Y50"/>
    <mergeCell ref="Z50:AA50"/>
    <mergeCell ref="T50:U50"/>
    <mergeCell ref="V50:W50"/>
    <mergeCell ref="AA49:AB49"/>
    <mergeCell ref="AC49:AD49"/>
    <mergeCell ref="Y46:Z46"/>
    <mergeCell ref="AC48:AD48"/>
    <mergeCell ref="H50:I50"/>
    <mergeCell ref="Y49:Z49"/>
    <mergeCell ref="AA31:AB31"/>
    <mergeCell ref="U49:V49"/>
    <mergeCell ref="W49:X49"/>
    <mergeCell ref="K46:L46"/>
    <mergeCell ref="M46:N46"/>
    <mergeCell ref="O46:P46"/>
    <mergeCell ref="Q46:R46"/>
    <mergeCell ref="W46:X46"/>
    <mergeCell ref="S48:T48"/>
    <mergeCell ref="U48:V48"/>
    <mergeCell ref="I49:J49"/>
    <mergeCell ref="K49:L49"/>
    <mergeCell ref="M49:N49"/>
    <mergeCell ref="O49:P49"/>
    <mergeCell ref="Q49:R49"/>
    <mergeCell ref="S49:T49"/>
    <mergeCell ref="AK46:AL46"/>
    <mergeCell ref="AM46:AN46"/>
    <mergeCell ref="AU47:AV47"/>
    <mergeCell ref="AW47:AX47"/>
    <mergeCell ref="AQ47:AR47"/>
    <mergeCell ref="AK49:AL49"/>
    <mergeCell ref="AM49:AN49"/>
    <mergeCell ref="AO49:AP49"/>
    <mergeCell ref="AQ49:AR49"/>
    <mergeCell ref="AK47:AL47"/>
    <mergeCell ref="BC46:BD46"/>
    <mergeCell ref="AO46:AP46"/>
    <mergeCell ref="AQ46:AR46"/>
    <mergeCell ref="AS46:AT46"/>
    <mergeCell ref="AU46:AV46"/>
    <mergeCell ref="BA46:BB46"/>
    <mergeCell ref="AY46:AZ46"/>
    <mergeCell ref="AW46:AX46"/>
    <mergeCell ref="D74:F74"/>
    <mergeCell ref="D78:F78"/>
    <mergeCell ref="D79:F79"/>
    <mergeCell ref="AY47:AZ47"/>
    <mergeCell ref="D72:F72"/>
    <mergeCell ref="D73:F73"/>
    <mergeCell ref="AN50:AO50"/>
    <mergeCell ref="AO47:AP47"/>
    <mergeCell ref="AS47:AT47"/>
    <mergeCell ref="AM47:AN47"/>
    <mergeCell ref="D80:F80"/>
    <mergeCell ref="AB50:AC50"/>
    <mergeCell ref="AD50:AE50"/>
    <mergeCell ref="AA46:AB46"/>
    <mergeCell ref="Z51:AA51"/>
    <mergeCell ref="AB51:AC51"/>
    <mergeCell ref="AD51:AE51"/>
    <mergeCell ref="Y47:Z47"/>
    <mergeCell ref="D75:F75"/>
    <mergeCell ref="D76:F76"/>
    <mergeCell ref="AI20:AI21"/>
    <mergeCell ref="AI18:AI19"/>
    <mergeCell ref="Y25:Z25"/>
    <mergeCell ref="AA25:AB25"/>
    <mergeCell ref="AC25:AD25"/>
    <mergeCell ref="AE25:AF25"/>
    <mergeCell ref="AA24:AB24"/>
    <mergeCell ref="AC24:AD24"/>
    <mergeCell ref="Y24:Z24"/>
    <mergeCell ref="AI16:AI17"/>
    <mergeCell ref="AJ11:AJ12"/>
    <mergeCell ref="AJ9:AJ10"/>
    <mergeCell ref="AR26:AS26"/>
    <mergeCell ref="AM25:AN25"/>
    <mergeCell ref="AI14:AI15"/>
    <mergeCell ref="AI12:AI13"/>
    <mergeCell ref="AI8:AI9"/>
    <mergeCell ref="AI10:AI11"/>
    <mergeCell ref="AL26:AM26"/>
    <mergeCell ref="AM22:AN22"/>
    <mergeCell ref="AN26:AO26"/>
    <mergeCell ref="AP26:AQ26"/>
    <mergeCell ref="AO23:AP23"/>
    <mergeCell ref="AQ23:AR23"/>
    <mergeCell ref="AM24:AN24"/>
    <mergeCell ref="AO24:AP24"/>
    <mergeCell ref="AQ24:AR24"/>
    <mergeCell ref="AO25:AP25"/>
    <mergeCell ref="AQ25:AR25"/>
    <mergeCell ref="BA24:BB24"/>
    <mergeCell ref="BC24:BD24"/>
    <mergeCell ref="AJ17:AJ18"/>
    <mergeCell ref="AJ15:AJ16"/>
    <mergeCell ref="AJ13:AJ14"/>
    <mergeCell ref="AW23:AX23"/>
    <mergeCell ref="AK23:AL23"/>
    <mergeCell ref="AM23:AN23"/>
    <mergeCell ref="AJ19:AJ20"/>
    <mergeCell ref="AS23:AT23"/>
    <mergeCell ref="BC6:BD6"/>
    <mergeCell ref="AY22:AZ22"/>
    <mergeCell ref="BA22:BB22"/>
    <mergeCell ref="BC22:BD22"/>
    <mergeCell ref="AU25:AV25"/>
    <mergeCell ref="BC23:BD23"/>
    <mergeCell ref="AW22:AX22"/>
    <mergeCell ref="AY25:AZ25"/>
    <mergeCell ref="BA25:BB25"/>
    <mergeCell ref="BC25:BD25"/>
    <mergeCell ref="AZ26:BA26"/>
    <mergeCell ref="AO22:AP22"/>
    <mergeCell ref="AK6:AL6"/>
    <mergeCell ref="AM6:AN6"/>
    <mergeCell ref="AO6:AP6"/>
    <mergeCell ref="AK25:AL25"/>
    <mergeCell ref="AK22:AL22"/>
    <mergeCell ref="AY23:AZ23"/>
    <mergeCell ref="BA23:BB23"/>
    <mergeCell ref="AW25:AX25"/>
    <mergeCell ref="AQ22:AR22"/>
    <mergeCell ref="AS22:AT22"/>
    <mergeCell ref="AU22:AV22"/>
    <mergeCell ref="AQ6:AR6"/>
    <mergeCell ref="AS6:AT6"/>
    <mergeCell ref="AX26:AY26"/>
    <mergeCell ref="AU23:AV23"/>
    <mergeCell ref="AS24:AT24"/>
    <mergeCell ref="AU24:AV24"/>
    <mergeCell ref="AW24:AX24"/>
    <mergeCell ref="AS30:AT30"/>
    <mergeCell ref="AU30:AV30"/>
    <mergeCell ref="AW30:AX30"/>
    <mergeCell ref="AY30:AZ30"/>
    <mergeCell ref="AK30:AL30"/>
    <mergeCell ref="AM30:AN30"/>
    <mergeCell ref="U24:V24"/>
    <mergeCell ref="W24:X24"/>
    <mergeCell ref="AS25:AT25"/>
    <mergeCell ref="C3:E3"/>
    <mergeCell ref="BA30:BB30"/>
    <mergeCell ref="BB26:BC26"/>
    <mergeCell ref="AW6:AX6"/>
    <mergeCell ref="AY6:AZ6"/>
    <mergeCell ref="BA6:BB6"/>
    <mergeCell ref="BC30:BD30"/>
    <mergeCell ref="BM47:BN47"/>
    <mergeCell ref="BE46:BF46"/>
    <mergeCell ref="BG46:BH46"/>
    <mergeCell ref="BE49:BF49"/>
    <mergeCell ref="AV26:AW26"/>
    <mergeCell ref="U22:V22"/>
    <mergeCell ref="W22:X22"/>
    <mergeCell ref="U25:V25"/>
    <mergeCell ref="W25:X25"/>
    <mergeCell ref="AK24:AL24"/>
    <mergeCell ref="BE48:BF48"/>
    <mergeCell ref="BG48:BH48"/>
    <mergeCell ref="BI48:BJ48"/>
    <mergeCell ref="BK48:BL48"/>
    <mergeCell ref="D77:F77"/>
    <mergeCell ref="BM46:BN46"/>
    <mergeCell ref="BE47:BF47"/>
    <mergeCell ref="BG47:BH47"/>
    <mergeCell ref="BI47:BJ47"/>
    <mergeCell ref="BK47:BL47"/>
    <mergeCell ref="BL50:BM50"/>
    <mergeCell ref="BJ50:BK50"/>
    <mergeCell ref="BH50:BI50"/>
    <mergeCell ref="BI46:BJ46"/>
    <mergeCell ref="BK46:BL46"/>
    <mergeCell ref="BM48:BN48"/>
    <mergeCell ref="BG49:BH49"/>
    <mergeCell ref="BI49:BJ49"/>
    <mergeCell ref="BK49:BL49"/>
    <mergeCell ref="BM49:BN49"/>
    <mergeCell ref="B63:C63"/>
    <mergeCell ref="D63:F63"/>
    <mergeCell ref="R50:S50"/>
    <mergeCell ref="BB50:BC50"/>
    <mergeCell ref="AT50:AU50"/>
    <mergeCell ref="J50:K50"/>
    <mergeCell ref="L50:M50"/>
    <mergeCell ref="N50:O50"/>
    <mergeCell ref="AV50:AW50"/>
    <mergeCell ref="AX50:AY50"/>
    <mergeCell ref="AE46:AF46"/>
    <mergeCell ref="H2:I2"/>
    <mergeCell ref="BF50:BG50"/>
    <mergeCell ref="H3:I3"/>
    <mergeCell ref="BD50:BE50"/>
    <mergeCell ref="AO30:AP30"/>
    <mergeCell ref="AE49:AF49"/>
    <mergeCell ref="AU6:AV6"/>
    <mergeCell ref="AQ30:AR30"/>
    <mergeCell ref="AT26:AU26"/>
  </mergeCells>
  <phoneticPr fontId="2" type="noConversion"/>
  <conditionalFormatting sqref="C10">
    <cfRule type="expression" dxfId="1" priority="1" stopIfTrue="1">
      <formula>"$D$44="""""</formula>
    </cfRule>
  </conditionalFormatting>
  <dataValidations xWindow="362" yWindow="206" count="30">
    <dataValidation allowBlank="1" showInputMessage="1" showErrorMessage="1" promptTitle="X-coordinate at top of leg" prompt="Distance in X direction from datum point to top of leg. Give either the X-coordinate or the spacings between the legs, not both." sqref="Q7:S7 U7:AF7 BA22:BC22 AK22:AM22 AO22:AQ22 AS22:AU22 AW22:AY22 BM22:BN22 BE22:BG22 BI22:BK22"/>
    <dataValidation allowBlank="1" showInputMessage="1" showErrorMessage="1" promptTitle="Z-elevation of horizontal frame" prompt="Give either the Z-elevation or the spacings between the horizontal frames, not both." sqref="C31"/>
    <dataValidation allowBlank="1" showInputMessage="1" showErrorMessage="1" promptTitle="Spacing between elevations" prompt="Spacing between this elevation and the one below. Give either the Z-elevation or the spacings between the horizontal frames, not both." sqref="D31"/>
    <dataValidation allowBlank="1" showInputMessage="1" showErrorMessage="1" promptTitle="Braces" prompt="Braces between the legs:_x000a_No for no brace_x000a_X for X-brace_x000a_/  for diagonal up_x000a_\  for diagonal down" sqref="D51 D27"/>
    <dataValidation type="decimal" allowBlank="1" showInputMessage="1" showErrorMessage="1" sqref="P1">
      <formula1>-1000</formula1>
      <formula2>10000</formula2>
    </dataValidation>
    <dataValidation type="whole" allowBlank="1" showInputMessage="1" showErrorMessage="1" sqref="Q1">
      <formula1>5</formula1>
      <formula2>10</formula2>
    </dataValidation>
    <dataValidation allowBlank="1" showInputMessage="1" showErrorMessage="1" promptTitle="Y-coordinate at bottom of leg" prompt="Distance in Y direction from datum point to bottom of leg. Give either the Y-coordinate or the spacings between the legs, not both._x000a_Number shown in ( ) is resulting Y-coordinate._x000a_" sqref="E46 G46 I46 K46 M46 O46 Q46 S46 U46 W46 Y46 AA46 AC46 AE46 AK46:BN46"/>
    <dataValidation allowBlank="1" showInputMessage="1" showErrorMessage="1" promptTitle="X-coordinate at bottom of leg" prompt="Distance in X direction from datum point to bottom of leg. Give either the X-coordinate or the spacings between the legs, not both._x000a_Number shown in ( ) is resulting X-coordinate." sqref="G22 I22 K22 M22 E22 Q22 S22 U22 W22 Y22 AA22 AC22 AE22 O22"/>
    <dataValidation type="list" allowBlank="1" showInputMessage="1" showErrorMessage="1" sqref="D63:D64 D59:D61 S47 U47 W47 Y47 AA47 AC47 AE47 E47 G47 I47 K47 M47 O47 G23 I23 K23 M23 Q47 O23 Q23 E23 S23 U23 W23 Y23 AA23 AC23 AE23">
      <formula1>$G$116:$G$143</formula1>
    </dataValidation>
    <dataValidation type="list" allowBlank="1" showInputMessage="1" showErrorMessage="1" sqref="D55">
      <formula1>$J$116:$J$128</formula1>
    </dataValidation>
    <dataValidation allowBlank="1" showInputMessage="1" showErrorMessage="1" promptTitle="Z-elevation of the decks" prompt="Give either the Z-elevation or the spacing between the decks, not both." sqref="C7"/>
    <dataValidation allowBlank="1" showInputMessage="1" showErrorMessage="1" promptTitle="Spacing between the decks" prompt="Give either the Z-elevation or the spacing between the decks, not both." sqref="D7"/>
    <dataValidation type="list" allowBlank="1" showInputMessage="1" showErrorMessage="1" sqref="D72">
      <formula1>$N$116:$N$120</formula1>
    </dataValidation>
    <dataValidation type="list" allowBlank="1" showInputMessage="1" showErrorMessage="1" sqref="D73">
      <formula1>$R$116:$R$119</formula1>
    </dataValidation>
    <dataValidation type="list" allowBlank="1" showInputMessage="1" showErrorMessage="1" sqref="D74">
      <formula1>$V$116:$V$117</formula1>
    </dataValidation>
    <dataValidation allowBlank="1" showInputMessage="1" showErrorMessage="1" promptTitle="Section for diagonal braces" prompt="The pulldown list of sections is taken from the table on the General sheet. Add relevant sections to this table" sqref="B63:B64 B60"/>
    <dataValidation allowBlank="1" showInputMessage="1" showErrorMessage="1" promptTitle="Section for horizontal braces" prompt="The pulldown list of sections is taken from the table on the General sheet. Add relevant sections to this table" sqref="B61:B62"/>
    <dataValidation allowBlank="1" showInputMessage="1" showErrorMessage="1" promptTitle="Cross section for legs" prompt="The pulldown list of sections is taken from the table on the General sheet. Add relevant sections to this table" sqref="B59"/>
    <dataValidation allowBlank="1" showInputMessage="1" showErrorMessage="1" promptTitle="Material properties" prompt="The pulldown list of materials is taken from the table on the General sheet. Add relevant materials to this table" sqref="B55:B56"/>
    <dataValidation type="custom" allowBlank="1" showInputMessage="1" showErrorMessage="1" errorTitle="Elevation_spacing" error="Enter the elevation or the spacing between elevations and leave the other cell blank._x000a_" sqref="C12 C8 C10 C14:C18">
      <formula1>(D9="")</formula1>
    </dataValidation>
    <dataValidation type="custom" allowBlank="1" showInputMessage="1" showErrorMessage="1" errorTitle="Elevation_spacing" error="Enter the elevation or the spacing between elevations and leave the other cell blank._x000a_" sqref="D19 D17 D15 D13 D9 D11">
      <formula1>(C8="")</formula1>
    </dataValidation>
    <dataValidation type="custom" allowBlank="1" showInputMessage="1" showErrorMessage="1" errorTitle="Coord_spacing" error="Enter the leg coordinate or the spacing between legs and leave the other cell blank._x000a_" sqref="AA25 AC25 AE25 G25 I25 K25 M25 O25 Q25 S25 U25 W25 Y25">
      <formula1>(F26="")</formula1>
    </dataValidation>
    <dataValidation type="custom" allowBlank="1" showInputMessage="1" showErrorMessage="1" errorTitle="Coord_spacing" error="Enter the leg coordinate or the spacing between legs and leave the other cell blank._x000a_" sqref="F50 H50 J50 L50 N50 P50 R50 T50 V50 X50 Z50 AB50 AD50">
      <formula1>(G49="")</formula1>
    </dataValidation>
    <dataValidation allowBlank="1" showInputMessage="1" showErrorMessage="1" errorTitle="Coord_spacing" error="Enter the leg coordinate or the spacing between legs and leave the other cell blank._x000a_" sqref="E49 G49 I49 K49 M49 O49 Q49 S49 U49 W49 Y49 AA49 AC49 AE49"/>
    <dataValidation allowBlank="1" showInputMessage="1" showErrorMessage="1" promptTitle="Spacing between the legs" prompt="Give either the leg coordinate or the spacing between the legs, not both." sqref="D26"/>
    <dataValidation allowBlank="1" showInputMessage="1" showErrorMessage="1" promptTitle="Top coordinates / leg batter" prompt="Toggels between coordinate in top of leg or leg batter as input" sqref="H3 L2"/>
    <dataValidation allowBlank="1" showInputMessage="1" showErrorMessage="1" errorTitle="Elevation_spacing" error="Enter the elevation or the spacing between elevations and leave the other cell blank._x000a_" sqref="C20:C21"/>
    <dataValidation type="custom" allowBlank="1" showInputMessage="1" showErrorMessage="1" errorTitle="Elevation_spacing" error="Enter the elevation or the spacing between elevations and leave the other cell blank._x000a_" sqref="D21">
      <formula1>(#REF!="")</formula1>
    </dataValidation>
    <dataValidation type="list" allowBlank="1" showInputMessage="1" showErrorMessage="1" sqref="F51 H51 J51 L51 X51 Z51 AB51 AD51 V51 N51 P51 R51 T51 X27:AE27 P27 V27 T27 R27 N27 F27:J27 L27">
      <formula1>$E$116:$E$120</formula1>
    </dataValidation>
    <dataValidation type="list" allowBlank="1" showInputMessage="1" showErrorMessage="1" sqref="E48:AF48 E24:AF24">
      <formula1>$Y$116:$Y$117</formula1>
    </dataValidation>
  </dataValidations>
  <pageMargins left="0.75" right="0.75" top="1" bottom="1" header="0.5" footer="0.5"/>
  <pageSetup paperSize="9" scale="80" fitToHeight="3" orientation="landscape" r:id="rId1"/>
  <headerFooter alignWithMargins="0"/>
  <rowBreaks count="2" manualBreakCount="2">
    <brk id="29" max="31" man="1"/>
    <brk id="53" max="16383" man="1"/>
  </rowBreaks>
  <drawing r:id="rId2"/>
  <legacyDrawing r:id="rId3"/>
  <controls>
    <mc:AlternateContent xmlns:mc="http://schemas.openxmlformats.org/markup-compatibility/2006">
      <mc:Choice Requires="x14">
        <control shapeId="10062" r:id="rId4" name="HelpButton1">
          <controlPr defaultSize="0" autoLine="0" r:id="rId5">
            <anchor moveWithCells="1">
              <from>
                <xdr:col>22</xdr:col>
                <xdr:colOff>0</xdr:colOff>
                <xdr:row>1</xdr:row>
                <xdr:rowOff>47625</xdr:rowOff>
              </from>
              <to>
                <xdr:col>25</xdr:col>
                <xdr:colOff>38100</xdr:colOff>
                <xdr:row>2</xdr:row>
                <xdr:rowOff>133350</xdr:rowOff>
              </to>
            </anchor>
          </controlPr>
        </control>
      </mc:Choice>
      <mc:Fallback>
        <control shapeId="10062" r:id="rId4" name="HelpButton1"/>
      </mc:Fallback>
    </mc:AlternateContent>
    <mc:AlternateContent xmlns:mc="http://schemas.openxmlformats.org/markup-compatibility/2006">
      <mc:Choice Requires="x14">
        <control shapeId="9620" r:id="rId6" name="ToolbarsButton">
          <controlPr defaultSize="0" autoLine="0" r:id="rId7">
            <anchor moveWithCells="1">
              <from>
                <xdr:col>26</xdr:col>
                <xdr:colOff>104775</xdr:colOff>
                <xdr:row>2</xdr:row>
                <xdr:rowOff>9525</xdr:rowOff>
              </from>
              <to>
                <xdr:col>29</xdr:col>
                <xdr:colOff>228600</xdr:colOff>
                <xdr:row>3</xdr:row>
                <xdr:rowOff>38100</xdr:rowOff>
              </to>
            </anchor>
          </controlPr>
        </control>
      </mc:Choice>
      <mc:Fallback>
        <control shapeId="9620" r:id="rId6" name="ToolbarsButton"/>
      </mc:Fallback>
    </mc:AlternateContent>
    <mc:AlternateContent xmlns:mc="http://schemas.openxmlformats.org/markup-compatibility/2006">
      <mc:Choice Requires="x14">
        <control shapeId="7696" r:id="rId8" name="Run_Genie">
          <controlPr defaultSize="0" autoLine="0" r:id="rId9">
            <anchor moveWithCells="1">
              <from>
                <xdr:col>17</xdr:col>
                <xdr:colOff>295275</xdr:colOff>
                <xdr:row>1</xdr:row>
                <xdr:rowOff>47625</xdr:rowOff>
              </from>
              <to>
                <xdr:col>21</xdr:col>
                <xdr:colOff>9525</xdr:colOff>
                <xdr:row>2</xdr:row>
                <xdr:rowOff>133350</xdr:rowOff>
              </to>
            </anchor>
          </controlPr>
        </control>
      </mc:Choice>
      <mc:Fallback>
        <control shapeId="7696" r:id="rId8" name="Run_Genie"/>
      </mc:Fallback>
    </mc:AlternateContent>
    <mc:AlternateContent xmlns:mc="http://schemas.openxmlformats.org/markup-compatibility/2006">
      <mc:Choice Requires="x14">
        <control shapeId="7481" r:id="rId10" name="ProtectionButton">
          <controlPr defaultSize="0" autoLine="0" r:id="rId11">
            <anchor moveWithCells="1" sizeWithCells="1">
              <from>
                <xdr:col>26</xdr:col>
                <xdr:colOff>95250</xdr:colOff>
                <xdr:row>0</xdr:row>
                <xdr:rowOff>57150</xdr:rowOff>
              </from>
              <to>
                <xdr:col>29</xdr:col>
                <xdr:colOff>238125</xdr:colOff>
                <xdr:row>2</xdr:row>
                <xdr:rowOff>0</xdr:rowOff>
              </to>
            </anchor>
          </controlPr>
        </control>
      </mc:Choice>
      <mc:Fallback>
        <control shapeId="7481" r:id="rId10" name="ProtectionButton"/>
      </mc:Fallback>
    </mc:AlternateContent>
    <mc:AlternateContent xmlns:mc="http://schemas.openxmlformats.org/markup-compatibility/2006">
      <mc:Choice Requires="x14">
        <control shapeId="1049" r:id="rId12" name="PreviewUpdate">
          <controlPr defaultSize="0" autoLine="0" r:id="rId13">
            <anchor moveWithCells="1" sizeWithCells="1">
              <from>
                <xdr:col>9</xdr:col>
                <xdr:colOff>238125</xdr:colOff>
                <xdr:row>1</xdr:row>
                <xdr:rowOff>47625</xdr:rowOff>
              </from>
              <to>
                <xdr:col>12</xdr:col>
                <xdr:colOff>276225</xdr:colOff>
                <xdr:row>2</xdr:row>
                <xdr:rowOff>133350</xdr:rowOff>
              </to>
            </anchor>
          </controlPr>
        </control>
      </mc:Choice>
      <mc:Fallback>
        <control shapeId="1049" r:id="rId12" name="PreviewUpdate"/>
      </mc:Fallback>
    </mc:AlternateContent>
    <mc:AlternateContent xmlns:mc="http://schemas.openxmlformats.org/markup-compatibility/2006">
      <mc:Choice Requires="x14">
        <control shapeId="1026" r:id="rId14" name="Write_js">
          <controlPr defaultSize="0" autoLine="0" r:id="rId15">
            <anchor moveWithCells="1" sizeWithCells="1">
              <from>
                <xdr:col>13</xdr:col>
                <xdr:colOff>228600</xdr:colOff>
                <xdr:row>1</xdr:row>
                <xdr:rowOff>47625</xdr:rowOff>
              </from>
              <to>
                <xdr:col>17</xdr:col>
                <xdr:colOff>19050</xdr:colOff>
                <xdr:row>2</xdr:row>
                <xdr:rowOff>133350</xdr:rowOff>
              </to>
            </anchor>
          </controlPr>
        </control>
      </mc:Choice>
      <mc:Fallback>
        <control shapeId="1026" r:id="rId14" name="Write_js"/>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_Help"/>
  <dimension ref="B1:BQ156"/>
  <sheetViews>
    <sheetView showRowColHeaders="0" zoomScale="50" workbookViewId="0">
      <selection activeCell="CB65" sqref="CB65"/>
    </sheetView>
  </sheetViews>
  <sheetFormatPr defaultRowHeight="12.75" x14ac:dyDescent="0.2"/>
  <cols>
    <col min="1" max="1" width="3.140625" style="3" customWidth="1"/>
    <col min="2" max="2" width="8.140625" style="3" customWidth="1"/>
    <col min="3" max="3" width="8.7109375" style="3" customWidth="1"/>
    <col min="4" max="4" width="9.7109375" style="3" customWidth="1"/>
    <col min="5" max="7" width="4.85546875" style="4" customWidth="1"/>
    <col min="8" max="32" width="4.85546875" style="3" customWidth="1"/>
    <col min="33" max="36" width="0" style="3" hidden="1" customWidth="1"/>
    <col min="37" max="69" width="4.85546875" style="3" hidden="1" customWidth="1"/>
    <col min="70" max="70" width="0" style="3" hidden="1" customWidth="1"/>
    <col min="71" max="16384" width="9.140625" style="3"/>
  </cols>
  <sheetData>
    <row r="1" spans="2:56" ht="6" customHeight="1" x14ac:dyDescent="0.2"/>
    <row r="2" spans="2:56" ht="18" x14ac:dyDescent="0.25">
      <c r="B2" s="60" t="s">
        <v>387</v>
      </c>
      <c r="C2" s="61"/>
      <c r="D2" s="73"/>
      <c r="E2" s="74"/>
      <c r="F2" s="75" t="s">
        <v>347</v>
      </c>
      <c r="G2" s="74"/>
      <c r="H2" s="76" t="s">
        <v>346</v>
      </c>
      <c r="I2" s="14"/>
      <c r="L2" s="63"/>
    </row>
    <row r="3" spans="2:56" ht="18" x14ac:dyDescent="0.25">
      <c r="B3" s="18" t="s">
        <v>68</v>
      </c>
      <c r="C3" s="99" t="s">
        <v>69</v>
      </c>
      <c r="D3" s="100"/>
      <c r="E3" s="101"/>
      <c r="F3" s="3"/>
      <c r="G3" s="3"/>
      <c r="H3" s="34"/>
    </row>
    <row r="4" spans="2:56" ht="6" customHeight="1" x14ac:dyDescent="0.2">
      <c r="J4" s="5"/>
    </row>
    <row r="5" spans="2:56" ht="6" customHeight="1" x14ac:dyDescent="0.2"/>
    <row r="6" spans="2:56" ht="18" x14ac:dyDescent="0.2">
      <c r="B6" s="77" t="s">
        <v>15</v>
      </c>
      <c r="C6" s="79"/>
      <c r="AJ6" s="3" t="s">
        <v>127</v>
      </c>
      <c r="AK6" s="93"/>
      <c r="AL6" s="93"/>
      <c r="AM6" s="93"/>
      <c r="AN6" s="93"/>
      <c r="AO6" s="93"/>
      <c r="AP6" s="93"/>
      <c r="AQ6" s="93"/>
      <c r="AR6" s="93"/>
      <c r="AS6" s="93"/>
      <c r="AT6" s="93"/>
      <c r="AU6" s="93"/>
      <c r="AV6" s="93"/>
      <c r="AW6" s="93"/>
      <c r="AX6" s="93"/>
      <c r="AY6" s="93"/>
      <c r="AZ6" s="93"/>
      <c r="BA6" s="93"/>
      <c r="BB6" s="93"/>
      <c r="BC6" s="93"/>
      <c r="BD6" s="93"/>
    </row>
    <row r="7" spans="2:56" ht="15" customHeight="1" x14ac:dyDescent="0.2">
      <c r="B7" s="80" t="s">
        <v>32</v>
      </c>
      <c r="C7" s="23" t="s">
        <v>111</v>
      </c>
      <c r="D7" s="1" t="s">
        <v>118</v>
      </c>
      <c r="E7" s="134" t="str">
        <f>General!E72</f>
        <v>1</v>
      </c>
      <c r="F7" s="113"/>
      <c r="G7" s="134" t="str">
        <f>General!E73</f>
        <v>2</v>
      </c>
      <c r="H7" s="134"/>
      <c r="I7" s="134" t="str">
        <f>General!E74</f>
        <v>3</v>
      </c>
      <c r="J7" s="134"/>
      <c r="K7" s="134" t="str">
        <f>General!E75</f>
        <v>4</v>
      </c>
      <c r="L7" s="134"/>
      <c r="M7" s="134" t="str">
        <f>General!E76</f>
        <v>5</v>
      </c>
      <c r="N7" s="134"/>
      <c r="O7" s="134" t="str">
        <f>General!E77</f>
        <v>6</v>
      </c>
      <c r="P7" s="134"/>
      <c r="Q7" s="136" t="str">
        <f>General!E78</f>
        <v>7</v>
      </c>
      <c r="R7" s="134"/>
      <c r="S7" s="134" t="str">
        <f>General!E79</f>
        <v>8</v>
      </c>
      <c r="T7" s="134"/>
      <c r="U7" s="136" t="str">
        <f>General!E80</f>
        <v>9</v>
      </c>
      <c r="V7" s="134"/>
      <c r="W7" s="134">
        <f>General!E81</f>
        <v>10</v>
      </c>
      <c r="X7" s="134"/>
      <c r="Y7" s="134" t="str">
        <f>General!E82</f>
        <v>11</v>
      </c>
      <c r="Z7" s="134"/>
      <c r="AA7" s="134" t="str">
        <f>General!E83</f>
        <v>12</v>
      </c>
      <c r="AB7" s="134"/>
      <c r="AC7" s="134" t="str">
        <f>General!E84</f>
        <v>13</v>
      </c>
      <c r="AD7" s="134"/>
      <c r="AE7" s="134" t="str">
        <f>General!E85</f>
        <v>14</v>
      </c>
      <c r="AF7" s="134"/>
      <c r="AH7" s="29"/>
      <c r="AI7" s="1" t="s">
        <v>5</v>
      </c>
      <c r="AJ7" s="1" t="s">
        <v>31</v>
      </c>
    </row>
    <row r="8" spans="2:56" ht="20.100000000000001" customHeight="1" x14ac:dyDescent="0.2">
      <c r="B8" s="70" t="str">
        <f>AH8</f>
        <v>Z6</v>
      </c>
      <c r="C8" s="140"/>
      <c r="D8" s="78"/>
      <c r="E8" s="11"/>
      <c r="F8" s="26"/>
      <c r="G8" s="26"/>
      <c r="H8" s="26"/>
      <c r="I8" s="26"/>
      <c r="J8" s="27"/>
      <c r="K8" s="26"/>
      <c r="L8" s="26"/>
      <c r="M8" s="26"/>
      <c r="N8" s="26"/>
      <c r="O8" s="26"/>
      <c r="P8" s="26"/>
      <c r="Q8" s="26"/>
      <c r="R8" s="26"/>
      <c r="S8" s="26"/>
      <c r="T8" s="26"/>
      <c r="U8" s="26"/>
      <c r="V8" s="26"/>
      <c r="W8" s="11"/>
      <c r="X8" s="11"/>
      <c r="AH8" s="115" t="s">
        <v>27</v>
      </c>
      <c r="AI8" s="106" t="str">
        <f>IF(C8="",IF(D9="","",D9+AI10),C8)</f>
        <v/>
      </c>
      <c r="AJ8" s="69"/>
    </row>
    <row r="9" spans="2:56" ht="20.100000000000001" customHeight="1" x14ac:dyDescent="0.2">
      <c r="B9" s="81" t="str">
        <f>IF(AI8="","",FIXED(AI8,2))</f>
        <v/>
      </c>
      <c r="C9" s="138"/>
      <c r="D9" s="131"/>
      <c r="E9" s="11"/>
      <c r="F9" s="26"/>
      <c r="G9" s="26"/>
      <c r="H9" s="26"/>
      <c r="I9" s="26"/>
      <c r="J9" s="27"/>
      <c r="K9" s="26"/>
      <c r="L9" s="26"/>
      <c r="M9" s="26"/>
      <c r="N9" s="26"/>
      <c r="O9" s="26"/>
      <c r="P9" s="26"/>
      <c r="Q9" s="26"/>
      <c r="R9" s="26"/>
      <c r="S9" s="26"/>
      <c r="T9" s="26"/>
      <c r="U9" s="26"/>
      <c r="V9" s="26"/>
      <c r="W9" s="11"/>
      <c r="X9" s="11"/>
      <c r="AH9" s="115"/>
      <c r="AI9" s="107"/>
      <c r="AJ9" s="104" t="str">
        <f>IF(C8="",IF(D9="","",D9),AI8-AI10)</f>
        <v/>
      </c>
    </row>
    <row r="10" spans="2:56" ht="20.100000000000001" customHeight="1" x14ac:dyDescent="0.2">
      <c r="B10" s="70" t="str">
        <f>AH10</f>
        <v>Z5</v>
      </c>
      <c r="C10" s="137"/>
      <c r="D10" s="132"/>
      <c r="E10" s="11"/>
      <c r="F10" s="26"/>
      <c r="G10" s="26"/>
      <c r="H10" s="26"/>
      <c r="I10" s="26"/>
      <c r="J10" s="26"/>
      <c r="K10" s="26"/>
      <c r="L10" s="26"/>
      <c r="M10" s="26"/>
      <c r="N10" s="26"/>
      <c r="O10" s="26"/>
      <c r="P10" s="26"/>
      <c r="Q10" s="26"/>
      <c r="R10" s="26"/>
      <c r="S10" s="26"/>
      <c r="T10" s="26"/>
      <c r="U10" s="26"/>
      <c r="V10" s="26"/>
      <c r="W10" s="11"/>
      <c r="X10" s="11"/>
      <c r="AH10" s="115" t="s">
        <v>28</v>
      </c>
      <c r="AI10" s="106" t="str">
        <f>IF(C10="",IF(D11="","",D11+AI12),C10)</f>
        <v/>
      </c>
      <c r="AJ10" s="105"/>
    </row>
    <row r="11" spans="2:56" ht="20.100000000000001" customHeight="1" x14ac:dyDescent="0.2">
      <c r="B11" s="81" t="str">
        <f>IF(AI10="","",FIXED(AI10,2))</f>
        <v/>
      </c>
      <c r="C11" s="138"/>
      <c r="D11" s="131"/>
      <c r="E11" s="11"/>
      <c r="F11" s="26"/>
      <c r="G11" s="26"/>
      <c r="H11" s="26"/>
      <c r="I11" s="26"/>
      <c r="J11" s="26"/>
      <c r="K11" s="26"/>
      <c r="L11" s="26"/>
      <c r="M11" s="26"/>
      <c r="N11" s="26"/>
      <c r="O11" s="26"/>
      <c r="P11" s="26"/>
      <c r="Q11" s="26"/>
      <c r="R11" s="26"/>
      <c r="S11" s="26"/>
      <c r="T11" s="26"/>
      <c r="U11" s="26"/>
      <c r="V11" s="26"/>
      <c r="W11" s="11"/>
      <c r="X11" s="11"/>
      <c r="AH11" s="116"/>
      <c r="AI11" s="107"/>
      <c r="AJ11" s="104" t="str">
        <f>IF(C10="",IF(D11="","",D11),AI10-AI12)</f>
        <v/>
      </c>
    </row>
    <row r="12" spans="2:56" ht="20.100000000000001" customHeight="1" x14ac:dyDescent="0.2">
      <c r="B12" s="70" t="str">
        <f>AH12</f>
        <v>Z4</v>
      </c>
      <c r="C12" s="137"/>
      <c r="D12" s="132"/>
      <c r="E12" s="11"/>
      <c r="F12" s="26"/>
      <c r="G12" s="26"/>
      <c r="H12" s="26"/>
      <c r="I12" s="26"/>
      <c r="J12" s="26"/>
      <c r="K12" s="26"/>
      <c r="L12" s="26"/>
      <c r="M12" s="26"/>
      <c r="N12" s="26"/>
      <c r="O12" s="26"/>
      <c r="P12" s="26"/>
      <c r="Q12" s="26"/>
      <c r="R12" s="26"/>
      <c r="S12" s="26"/>
      <c r="T12" s="26"/>
      <c r="U12" s="26"/>
      <c r="V12" s="26"/>
      <c r="W12" s="11"/>
      <c r="X12" s="11"/>
      <c r="AH12" s="115" t="s">
        <v>29</v>
      </c>
      <c r="AI12" s="106" t="str">
        <f>IF(C12="",IF(D13="","",D13+AI14),C12)</f>
        <v/>
      </c>
      <c r="AJ12" s="105"/>
    </row>
    <row r="13" spans="2:56" ht="20.100000000000001" customHeight="1" x14ac:dyDescent="0.2">
      <c r="B13" s="81" t="str">
        <f>IF(AI12="","",FIXED(AI12,2))</f>
        <v/>
      </c>
      <c r="C13" s="138"/>
      <c r="D13" s="131"/>
      <c r="E13" s="11"/>
      <c r="F13" s="26"/>
      <c r="G13" s="26"/>
      <c r="H13" s="26"/>
      <c r="I13" s="26"/>
      <c r="J13" s="26"/>
      <c r="K13" s="26"/>
      <c r="L13" s="26"/>
      <c r="M13" s="26"/>
      <c r="N13" s="26"/>
      <c r="O13" s="26"/>
      <c r="P13" s="26"/>
      <c r="Q13" s="26"/>
      <c r="R13" s="26"/>
      <c r="S13" s="26"/>
      <c r="T13" s="26"/>
      <c r="U13" s="26"/>
      <c r="V13" s="26"/>
      <c r="W13" s="11"/>
      <c r="X13" s="11"/>
      <c r="AH13" s="115"/>
      <c r="AI13" s="107"/>
      <c r="AJ13" s="104" t="str">
        <f>IF(C12="",IF(D13="","",D13),AI12-AI14)</f>
        <v/>
      </c>
    </row>
    <row r="14" spans="2:56" ht="20.100000000000001" customHeight="1" x14ac:dyDescent="0.2">
      <c r="B14" s="70" t="str">
        <f>AH14</f>
        <v>Z3</v>
      </c>
      <c r="C14" s="137"/>
      <c r="D14" s="132"/>
      <c r="E14" s="11"/>
      <c r="F14" s="26"/>
      <c r="G14" s="26"/>
      <c r="H14" s="26"/>
      <c r="I14" s="26"/>
      <c r="J14" s="26"/>
      <c r="K14" s="26"/>
      <c r="L14" s="26"/>
      <c r="M14" s="26"/>
      <c r="N14" s="26"/>
      <c r="O14" s="26"/>
      <c r="P14" s="26"/>
      <c r="Q14" s="26"/>
      <c r="R14" s="26"/>
      <c r="S14" s="26"/>
      <c r="T14" s="26"/>
      <c r="U14" s="26"/>
      <c r="V14" s="26"/>
      <c r="W14" s="11"/>
      <c r="X14" s="11"/>
      <c r="AH14" s="115" t="s">
        <v>30</v>
      </c>
      <c r="AI14" s="106">
        <f>IF(C14="",IF(D15="","",D15+AI16),C14)</f>
        <v>148</v>
      </c>
      <c r="AJ14" s="105"/>
    </row>
    <row r="15" spans="2:56" ht="20.100000000000001" customHeight="1" x14ac:dyDescent="0.2">
      <c r="B15" s="81" t="str">
        <f>IF(AI14="","",FIXED(AI14,2))</f>
        <v>148.00</v>
      </c>
      <c r="C15" s="139"/>
      <c r="D15" s="131">
        <v>8</v>
      </c>
      <c r="E15" s="11"/>
      <c r="F15" s="26"/>
      <c r="G15" s="26"/>
      <c r="H15" s="26"/>
      <c r="I15" s="26"/>
      <c r="J15" s="26"/>
      <c r="K15" s="26"/>
      <c r="L15" s="26"/>
      <c r="M15" s="26"/>
      <c r="N15" s="26"/>
      <c r="O15" s="26"/>
      <c r="P15" s="26"/>
      <c r="Q15" s="26"/>
      <c r="R15" s="26"/>
      <c r="S15" s="26"/>
      <c r="T15" s="26"/>
      <c r="U15" s="26"/>
      <c r="V15" s="26"/>
      <c r="W15" s="11"/>
      <c r="X15" s="11"/>
      <c r="AH15" s="116"/>
      <c r="AI15" s="107"/>
      <c r="AJ15" s="104">
        <f>IF(C14="",IF(D15="","",D15),AI14-AI16)</f>
        <v>8</v>
      </c>
    </row>
    <row r="16" spans="2:56" ht="20.100000000000001" customHeight="1" x14ac:dyDescent="0.2">
      <c r="B16" s="70" t="str">
        <f>AH16</f>
        <v>Z2</v>
      </c>
      <c r="C16" s="137"/>
      <c r="D16" s="132"/>
      <c r="E16" s="11"/>
      <c r="F16" s="26"/>
      <c r="G16" s="26"/>
      <c r="H16" s="26"/>
      <c r="I16" s="26"/>
      <c r="J16" s="26"/>
      <c r="K16" s="26"/>
      <c r="L16" s="26"/>
      <c r="M16" s="26"/>
      <c r="N16" s="26"/>
      <c r="O16" s="26"/>
      <c r="P16" s="26"/>
      <c r="Q16" s="26"/>
      <c r="R16" s="26"/>
      <c r="S16" s="26"/>
      <c r="T16" s="26"/>
      <c r="U16" s="26"/>
      <c r="V16" s="26"/>
      <c r="W16" s="11"/>
      <c r="X16" s="11"/>
      <c r="AH16" s="115" t="s">
        <v>26</v>
      </c>
      <c r="AI16" s="106">
        <f>IF(C16="",IF(D17="","",D17+AI18),C16)</f>
        <v>140</v>
      </c>
      <c r="AJ16" s="105"/>
    </row>
    <row r="17" spans="2:66" ht="20.100000000000001" customHeight="1" x14ac:dyDescent="0.2">
      <c r="B17" s="81" t="str">
        <f>IF(AI16="","",FIXED(AI16,2))</f>
        <v>140.00</v>
      </c>
      <c r="C17" s="139"/>
      <c r="D17" s="131">
        <v>8</v>
      </c>
      <c r="E17" s="11"/>
      <c r="F17" s="26"/>
      <c r="G17" s="26"/>
      <c r="H17" s="26"/>
      <c r="I17" s="26"/>
      <c r="J17" s="26"/>
      <c r="K17" s="26"/>
      <c r="L17" s="26"/>
      <c r="M17" s="26"/>
      <c r="N17" s="26"/>
      <c r="O17" s="26"/>
      <c r="P17" s="26"/>
      <c r="Q17" s="26"/>
      <c r="R17" s="26"/>
      <c r="S17" s="26"/>
      <c r="T17" s="26"/>
      <c r="U17" s="26"/>
      <c r="V17" s="26"/>
      <c r="W17" s="11"/>
      <c r="X17" s="11"/>
      <c r="AH17" s="115"/>
      <c r="AI17" s="107"/>
      <c r="AJ17" s="104">
        <f>IF(C16="",IF(D17="","",D17),AI16-AI18)</f>
        <v>8</v>
      </c>
    </row>
    <row r="18" spans="2:66" ht="20.100000000000001" customHeight="1" x14ac:dyDescent="0.2">
      <c r="B18" s="70" t="str">
        <f>AH18</f>
        <v>Z1</v>
      </c>
      <c r="C18" s="137"/>
      <c r="D18" s="132"/>
      <c r="E18" s="11"/>
      <c r="F18" s="26"/>
      <c r="G18" s="26"/>
      <c r="H18" s="26"/>
      <c r="I18" s="26"/>
      <c r="J18" s="26"/>
      <c r="K18" s="26"/>
      <c r="L18" s="26"/>
      <c r="M18" s="26"/>
      <c r="N18" s="26"/>
      <c r="O18" s="26"/>
      <c r="P18" s="26"/>
      <c r="Q18" s="26"/>
      <c r="R18" s="26"/>
      <c r="S18" s="26"/>
      <c r="T18" s="26"/>
      <c r="U18" s="26"/>
      <c r="V18" s="26"/>
      <c r="W18" s="11"/>
      <c r="X18" s="11"/>
      <c r="AH18" s="115" t="s">
        <v>25</v>
      </c>
      <c r="AI18" s="106">
        <f>IF(C18="",IF(D19="","",D19+AI20),C18)</f>
        <v>132</v>
      </c>
      <c r="AJ18" s="105"/>
    </row>
    <row r="19" spans="2:66" ht="20.100000000000001" customHeight="1" x14ac:dyDescent="0.2">
      <c r="B19" s="81" t="str">
        <f>IF(AI18="","",FIXED(AI18,2))</f>
        <v>132.00</v>
      </c>
      <c r="C19" s="138"/>
      <c r="D19" s="131">
        <v>4</v>
      </c>
      <c r="E19" s="11"/>
      <c r="F19" s="26"/>
      <c r="G19" s="26"/>
      <c r="H19" s="26"/>
      <c r="I19" s="26"/>
      <c r="J19" s="26"/>
      <c r="K19" s="26"/>
      <c r="L19" s="26"/>
      <c r="M19" s="26"/>
      <c r="N19" s="26"/>
      <c r="O19" s="26"/>
      <c r="P19" s="26"/>
      <c r="Q19" s="26"/>
      <c r="R19" s="26"/>
      <c r="S19" s="26"/>
      <c r="T19" s="26"/>
      <c r="U19" s="26"/>
      <c r="V19" s="26"/>
      <c r="W19" s="11"/>
      <c r="X19" s="11"/>
      <c r="AH19" s="116"/>
      <c r="AI19" s="107"/>
      <c r="AJ19" s="104">
        <f>IF(C18="",IF(D19="","",D19),AI18-AI20)</f>
        <v>4</v>
      </c>
    </row>
    <row r="20" spans="2:66" ht="20.100000000000001" customHeight="1" x14ac:dyDescent="0.2">
      <c r="B20" s="70" t="str">
        <f>AH20</f>
        <v>Z0</v>
      </c>
      <c r="C20" s="137">
        <v>128</v>
      </c>
      <c r="D20" s="141"/>
      <c r="E20" s="11"/>
      <c r="F20" s="26"/>
      <c r="G20" s="26"/>
      <c r="H20" s="26"/>
      <c r="I20" s="26"/>
      <c r="J20" s="26"/>
      <c r="K20" s="26"/>
      <c r="L20" s="26"/>
      <c r="M20" s="26"/>
      <c r="N20" s="26"/>
      <c r="O20" s="26"/>
      <c r="P20" s="26"/>
      <c r="Q20" s="26"/>
      <c r="R20" s="26"/>
      <c r="S20" s="26"/>
      <c r="T20" s="26"/>
      <c r="U20" s="26"/>
      <c r="V20" s="26"/>
      <c r="W20" s="11"/>
      <c r="X20" s="11"/>
      <c r="AH20" s="115" t="s">
        <v>117</v>
      </c>
      <c r="AI20" s="106">
        <f>IF(C20="",IF(D21="","",D21+#REF!),C20)</f>
        <v>128</v>
      </c>
      <c r="AJ20" s="105"/>
    </row>
    <row r="21" spans="2:66" ht="20.100000000000001" customHeight="1" x14ac:dyDescent="0.2">
      <c r="B21" s="81" t="str">
        <f>IF(AI20="","",FIXED(AI20,2))</f>
        <v>128.00</v>
      </c>
      <c r="C21" s="139"/>
      <c r="D21" s="13"/>
      <c r="E21" s="11"/>
      <c r="F21" s="26"/>
      <c r="G21" s="26"/>
      <c r="H21" s="26"/>
      <c r="I21" s="26"/>
      <c r="J21" s="26"/>
      <c r="K21" s="26"/>
      <c r="L21" s="26"/>
      <c r="M21" s="26"/>
      <c r="N21" s="26"/>
      <c r="O21" s="26"/>
      <c r="P21" s="26"/>
      <c r="Q21" s="26"/>
      <c r="R21" s="26"/>
      <c r="S21" s="26"/>
      <c r="T21" s="26"/>
      <c r="U21" s="26"/>
      <c r="V21" s="26"/>
      <c r="W21" s="11"/>
      <c r="X21" s="11"/>
      <c r="AH21" s="115"/>
      <c r="AI21" s="107"/>
      <c r="AJ21" s="68"/>
    </row>
    <row r="22" spans="2:66" ht="12.75" customHeight="1" x14ac:dyDescent="0.2">
      <c r="D22" s="2" t="s">
        <v>345</v>
      </c>
      <c r="E22" s="83" t="str">
        <f>IF(AK25="",E7,CONCATENATE(E7," (",FIXED(AK25,2),")"))</f>
        <v>1 (-6.00)</v>
      </c>
      <c r="F22" s="84"/>
      <c r="G22" s="83" t="str">
        <f>IF(AM25="",G7,CONCATENATE(G7," (",FIXED(AM25,2),")"))</f>
        <v>2 (6.00)</v>
      </c>
      <c r="H22" s="84"/>
      <c r="I22" s="83" t="str">
        <f>IF(AO25="",I7,CONCATENATE(I7," (",FIXED(AO25,2),")"))</f>
        <v>3 (11.00)</v>
      </c>
      <c r="J22" s="84"/>
      <c r="K22" s="83" t="str">
        <f>IF(AQ25="",K7,CONCATENATE(K7," (",FIXED(AQ25,2),")"))</f>
        <v>4 (19.00)</v>
      </c>
      <c r="L22" s="84"/>
      <c r="M22" s="83" t="str">
        <f>IF(AS25="",M7,CONCATENATE(M7," (",FIXED(AS25,2),")"))</f>
        <v>5 (23.00)</v>
      </c>
      <c r="N22" s="84"/>
      <c r="O22" s="83" t="str">
        <f>IF(AU25="",O7,CONCATENATE(O7," (",FIXED(AU25,2),")"))</f>
        <v>6 (27.00)</v>
      </c>
      <c r="P22" s="84"/>
      <c r="Q22" s="83" t="str">
        <f>IF(AW25="",Q7,CONCATENATE(Q7," (",FIXED(AW25,2),")"))</f>
        <v>7 (35.00)</v>
      </c>
      <c r="R22" s="84"/>
      <c r="S22" s="83" t="str">
        <f>IF(AY25="",S7,CONCATENATE(S7," (",FIXED(AY25,2),")"))</f>
        <v>8 (40.00)</v>
      </c>
      <c r="T22" s="84"/>
      <c r="U22" s="83" t="str">
        <f>IF(BA25="",U7,CONCATENATE(U7," (",FIXED(BA25,2),")"))</f>
        <v>9</v>
      </c>
      <c r="V22" s="84"/>
      <c r="W22" s="83">
        <f>IF(BC25="",W7,CONCATENATE(W7," (",FIXED(BC25,2),")"))</f>
        <v>10</v>
      </c>
      <c r="X22" s="84"/>
      <c r="Y22" s="83" t="str">
        <f>IF(BE25="",Y7,CONCATENATE(Y7," (",FIXED(BE25,2),")"))</f>
        <v>11</v>
      </c>
      <c r="Z22" s="84"/>
      <c r="AA22" s="83" t="str">
        <f>IF(BG25="",AA7,CONCATENATE(AA7," (",FIXED(BG25,2),")"))</f>
        <v>12</v>
      </c>
      <c r="AB22" s="84"/>
      <c r="AC22" s="83" t="str">
        <f>IF(BI25="",AC7,CONCATENATE(AC7," (",FIXED(BI25,2),")"))</f>
        <v>13</v>
      </c>
      <c r="AD22" s="84"/>
      <c r="AE22" s="83" t="str">
        <f>IF(BK25="",AE7,CONCATENATE(AE7," (",FIXED(BK25,2),")"))</f>
        <v>14</v>
      </c>
      <c r="AF22" s="84"/>
      <c r="AJ22" s="23" t="s">
        <v>121</v>
      </c>
      <c r="AK22" s="102" t="s">
        <v>16</v>
      </c>
      <c r="AL22" s="103"/>
      <c r="AM22" s="102" t="s">
        <v>17</v>
      </c>
      <c r="AN22" s="103"/>
      <c r="AO22" s="102" t="s">
        <v>18</v>
      </c>
      <c r="AP22" s="103"/>
      <c r="AQ22" s="102" t="s">
        <v>19</v>
      </c>
      <c r="AR22" s="103"/>
      <c r="AS22" s="102" t="s">
        <v>20</v>
      </c>
      <c r="AT22" s="103"/>
      <c r="AU22" s="102" t="s">
        <v>21</v>
      </c>
      <c r="AV22" s="103"/>
      <c r="AW22" s="102" t="s">
        <v>22</v>
      </c>
      <c r="AX22" s="103"/>
      <c r="AY22" s="102" t="s">
        <v>23</v>
      </c>
      <c r="AZ22" s="103"/>
      <c r="BA22" s="102" t="s">
        <v>24</v>
      </c>
      <c r="BB22" s="103"/>
      <c r="BC22" s="102" t="s">
        <v>119</v>
      </c>
      <c r="BD22" s="103"/>
      <c r="BE22" s="102" t="s">
        <v>494</v>
      </c>
      <c r="BF22" s="103"/>
      <c r="BG22" s="102" t="s">
        <v>495</v>
      </c>
      <c r="BH22" s="103"/>
      <c r="BI22" s="102" t="s">
        <v>496</v>
      </c>
      <c r="BJ22" s="103"/>
      <c r="BK22" s="102" t="s">
        <v>497</v>
      </c>
      <c r="BL22" s="103"/>
      <c r="BM22" s="102" t="s">
        <v>498</v>
      </c>
      <c r="BN22" s="103"/>
    </row>
    <row r="23" spans="2:66" ht="12.75" customHeight="1" x14ac:dyDescent="0.2">
      <c r="D23" s="28" t="s">
        <v>384</v>
      </c>
      <c r="E23" s="91" t="s">
        <v>363</v>
      </c>
      <c r="F23" s="92"/>
      <c r="G23" s="91" t="s">
        <v>515</v>
      </c>
      <c r="H23" s="92"/>
      <c r="I23" s="91" t="s">
        <v>361</v>
      </c>
      <c r="J23" s="92"/>
      <c r="K23" s="91" t="s">
        <v>515</v>
      </c>
      <c r="L23" s="92"/>
      <c r="M23" s="91" t="s">
        <v>363</v>
      </c>
      <c r="N23" s="92"/>
      <c r="O23" s="91" t="s">
        <v>515</v>
      </c>
      <c r="P23" s="92"/>
      <c r="Q23" s="91" t="s">
        <v>361</v>
      </c>
      <c r="R23" s="92"/>
      <c r="S23" s="91" t="s">
        <v>363</v>
      </c>
      <c r="T23" s="92"/>
      <c r="U23" s="91"/>
      <c r="V23" s="92"/>
      <c r="W23" s="91"/>
      <c r="X23" s="92"/>
      <c r="Y23" s="91"/>
      <c r="Z23" s="92"/>
      <c r="AA23" s="91"/>
      <c r="AB23" s="92"/>
      <c r="AC23" s="91"/>
      <c r="AD23" s="92"/>
      <c r="AE23" s="91"/>
      <c r="AF23" s="92"/>
      <c r="AJ23" s="24" t="s">
        <v>384</v>
      </c>
      <c r="AK23" s="86" t="str">
        <f>IF(E23="","",E23)</f>
        <v>HE800B</v>
      </c>
      <c r="AL23" s="84"/>
      <c r="AM23" s="86" t="str">
        <f>IF(G23="","",G23)</f>
        <v>No_Beam</v>
      </c>
      <c r="AN23" s="84"/>
      <c r="AO23" s="86" t="str">
        <f>IF(I23="","",I23)</f>
        <v>HE400B</v>
      </c>
      <c r="AP23" s="84"/>
      <c r="AQ23" s="86" t="str">
        <f>IF(K23="","",K23)</f>
        <v>No_Beam</v>
      </c>
      <c r="AR23" s="84"/>
      <c r="AS23" s="86" t="str">
        <f>IF(M23="","",M23)</f>
        <v>HE800B</v>
      </c>
      <c r="AT23" s="84"/>
      <c r="AU23" s="86" t="str">
        <f>IF(O23="","",O23)</f>
        <v>No_Beam</v>
      </c>
      <c r="AV23" s="84"/>
      <c r="AW23" s="86" t="str">
        <f>IF(Q23="","",Q23)</f>
        <v>HE400B</v>
      </c>
      <c r="AX23" s="84"/>
      <c r="AY23" s="86" t="str">
        <f>IF(S23="","",S23)</f>
        <v>HE800B</v>
      </c>
      <c r="AZ23" s="84"/>
      <c r="BA23" s="86" t="str">
        <f>IF(U23="","",U23)</f>
        <v/>
      </c>
      <c r="BB23" s="84"/>
      <c r="BC23" s="86" t="str">
        <f>IF(W23="","",W23)</f>
        <v/>
      </c>
      <c r="BD23" s="84"/>
      <c r="BE23" s="86" t="str">
        <f>IF(Y23="","",Y23)</f>
        <v/>
      </c>
      <c r="BF23" s="84"/>
      <c r="BG23" s="86" t="str">
        <f>IF(AA23="","",AA23)</f>
        <v/>
      </c>
      <c r="BH23" s="84"/>
      <c r="BI23" s="86" t="str">
        <f>IF(AC23="","",AC23)</f>
        <v/>
      </c>
      <c r="BJ23" s="84"/>
      <c r="BK23" s="86" t="str">
        <f>IF(AE23="","",AE23)</f>
        <v/>
      </c>
      <c r="BL23" s="84"/>
      <c r="BM23" s="86" t="str">
        <f>IF(AG23="","",AG23)</f>
        <v/>
      </c>
      <c r="BN23" s="84"/>
    </row>
    <row r="24" spans="2:66" ht="12.75" customHeight="1" x14ac:dyDescent="0.2">
      <c r="D24" s="28" t="s">
        <v>457</v>
      </c>
      <c r="E24" s="91" t="s">
        <v>457</v>
      </c>
      <c r="F24" s="92"/>
      <c r="G24" s="91" t="s">
        <v>457</v>
      </c>
      <c r="H24" s="92"/>
      <c r="I24" s="91" t="s">
        <v>457</v>
      </c>
      <c r="J24" s="92"/>
      <c r="K24" s="91" t="s">
        <v>459</v>
      </c>
      <c r="L24" s="92"/>
      <c r="M24" s="91" t="s">
        <v>457</v>
      </c>
      <c r="N24" s="92"/>
      <c r="O24" s="91" t="s">
        <v>459</v>
      </c>
      <c r="P24" s="92"/>
      <c r="Q24" s="91" t="s">
        <v>457</v>
      </c>
      <c r="R24" s="92"/>
      <c r="S24" s="91" t="s">
        <v>457</v>
      </c>
      <c r="T24" s="92"/>
      <c r="U24" s="91"/>
      <c r="V24" s="92"/>
      <c r="W24" s="91"/>
      <c r="X24" s="92"/>
      <c r="Y24" s="91"/>
      <c r="Z24" s="92"/>
      <c r="AA24" s="91"/>
      <c r="AB24" s="92"/>
      <c r="AC24" s="91"/>
      <c r="AD24" s="92"/>
      <c r="AE24" s="91"/>
      <c r="AF24" s="92"/>
      <c r="AJ24" s="24" t="s">
        <v>457</v>
      </c>
      <c r="AK24" s="86" t="str">
        <f>IF(E24="","",E24)</f>
        <v>Column</v>
      </c>
      <c r="AL24" s="84"/>
      <c r="AM24" s="86" t="str">
        <f>IF(G24="","",G24)</f>
        <v>Column</v>
      </c>
      <c r="AN24" s="84"/>
      <c r="AO24" s="86" t="str">
        <f>IF(I24="","",I24)</f>
        <v>Column</v>
      </c>
      <c r="AP24" s="84"/>
      <c r="AQ24" s="86" t="str">
        <f>IF(K24="","",K24)</f>
        <v>No_Col</v>
      </c>
      <c r="AR24" s="84"/>
      <c r="AS24" s="86" t="str">
        <f>IF(M24="","",M24)</f>
        <v>Column</v>
      </c>
      <c r="AT24" s="84"/>
      <c r="AU24" s="86" t="str">
        <f>IF(O24="","",O24)</f>
        <v>No_Col</v>
      </c>
      <c r="AV24" s="84"/>
      <c r="AW24" s="86" t="str">
        <f>IF(Q24="","",Q24)</f>
        <v>Column</v>
      </c>
      <c r="AX24" s="84"/>
      <c r="AY24" s="86" t="str">
        <f>IF(S24="","",S24)</f>
        <v>Column</v>
      </c>
      <c r="AZ24" s="84"/>
      <c r="BA24" s="86" t="str">
        <f>IF(U24="","",U24)</f>
        <v/>
      </c>
      <c r="BB24" s="84"/>
      <c r="BC24" s="86" t="str">
        <f>IF(W24="","",W24)</f>
        <v/>
      </c>
      <c r="BD24" s="84"/>
      <c r="BE24" s="86" t="str">
        <f>IF(Y24="","",Y24)</f>
        <v/>
      </c>
      <c r="BF24" s="84"/>
      <c r="BG24" s="86" t="str">
        <f>IF(AA24="","",AA24)</f>
        <v/>
      </c>
      <c r="BH24" s="84"/>
      <c r="BI24" s="86" t="str">
        <f>IF(AC24="","",AC24)</f>
        <v/>
      </c>
      <c r="BJ24" s="84"/>
      <c r="BK24" s="86" t="str">
        <f>IF(AE24="","",AE24)</f>
        <v/>
      </c>
      <c r="BL24" s="84"/>
      <c r="BM24" s="86" t="str">
        <f>IF(AG24="","",AG24)</f>
        <v/>
      </c>
      <c r="BN24" s="84"/>
    </row>
    <row r="25" spans="2:66" ht="12.75" customHeight="1" x14ac:dyDescent="0.2">
      <c r="D25" s="28" t="s">
        <v>120</v>
      </c>
      <c r="E25" s="91">
        <v>-6</v>
      </c>
      <c r="F25" s="92"/>
      <c r="G25" s="91"/>
      <c r="H25" s="92"/>
      <c r="I25" s="91"/>
      <c r="J25" s="92"/>
      <c r="K25" s="91"/>
      <c r="L25" s="92"/>
      <c r="M25" s="91"/>
      <c r="N25" s="92"/>
      <c r="O25" s="91"/>
      <c r="P25" s="92"/>
      <c r="Q25" s="91"/>
      <c r="R25" s="92"/>
      <c r="S25" s="91"/>
      <c r="T25" s="92"/>
      <c r="U25" s="91"/>
      <c r="V25" s="92"/>
      <c r="W25" s="91"/>
      <c r="X25" s="92"/>
      <c r="Y25" s="91"/>
      <c r="Z25" s="92"/>
      <c r="AA25" s="91"/>
      <c r="AB25" s="92"/>
      <c r="AC25" s="91"/>
      <c r="AD25" s="92"/>
      <c r="AE25" s="91"/>
      <c r="AF25" s="92"/>
      <c r="AJ25" s="24" t="s">
        <v>120</v>
      </c>
      <c r="AK25" s="86">
        <f>E25</f>
        <v>-6</v>
      </c>
      <c r="AL25" s="87"/>
      <c r="AM25" s="86">
        <f>IF(G25="",IF(F26="","",AK25+F26),G25)</f>
        <v>6</v>
      </c>
      <c r="AN25" s="84"/>
      <c r="AO25" s="86">
        <f>IF(I25="",IF(H26="","",AM25+H26),I25)</f>
        <v>11</v>
      </c>
      <c r="AP25" s="84"/>
      <c r="AQ25" s="86">
        <f>IF(K25="",IF(J26="","",AO25+J26),K25)</f>
        <v>19</v>
      </c>
      <c r="AR25" s="84"/>
      <c r="AS25" s="86">
        <f>IF(M25="",IF(L26="","",AQ25+L26),M25)</f>
        <v>23</v>
      </c>
      <c r="AT25" s="84"/>
      <c r="AU25" s="86">
        <f>IF(O25="",IF(N26="","",AS25+N26),O25)</f>
        <v>27</v>
      </c>
      <c r="AV25" s="84"/>
      <c r="AW25" s="86">
        <f>IF(Q25="",IF(P26="","",AU25+P26),Q25)</f>
        <v>35</v>
      </c>
      <c r="AX25" s="84"/>
      <c r="AY25" s="86">
        <f>IF(S25="",IF(R26="","",AW25+R26),S25)</f>
        <v>40</v>
      </c>
      <c r="AZ25" s="84"/>
      <c r="BA25" s="86" t="str">
        <f>IF(U25="",IF(T26="","",AY25+T26),U25)</f>
        <v/>
      </c>
      <c r="BB25" s="84"/>
      <c r="BC25" s="86" t="str">
        <f>IF(W25="",IF(V26="","",BA25+V26),W25)</f>
        <v/>
      </c>
      <c r="BD25" s="84"/>
      <c r="BE25" s="86" t="str">
        <f>IF(Y25="",IF(X26="","",BC25+X26),Y25)</f>
        <v/>
      </c>
      <c r="BF25" s="84"/>
      <c r="BG25" s="86" t="str">
        <f>IF(AA25="",IF(Z26="","",BE25+Z26),AA25)</f>
        <v/>
      </c>
      <c r="BH25" s="84"/>
      <c r="BI25" s="86" t="str">
        <f>IF(AC25="",IF(AB26="","",BG25+AB26),AC25)</f>
        <v/>
      </c>
      <c r="BJ25" s="84"/>
      <c r="BK25" s="86" t="str">
        <f>IF(AE25="",IF(AD26="","",BI25+AD26),AE25)</f>
        <v/>
      </c>
      <c r="BL25" s="84"/>
      <c r="BM25" s="86" t="str">
        <f>IF(AG25="",IF(AF26="","",BK25+AF26),AG25)</f>
        <v/>
      </c>
      <c r="BN25" s="84"/>
    </row>
    <row r="26" spans="2:66" ht="12.75" customHeight="1" x14ac:dyDescent="0.2">
      <c r="D26" s="32" t="s">
        <v>110</v>
      </c>
      <c r="E26" s="21"/>
      <c r="F26" s="91">
        <v>12</v>
      </c>
      <c r="G26" s="92"/>
      <c r="H26" s="91">
        <v>5</v>
      </c>
      <c r="I26" s="92"/>
      <c r="J26" s="91">
        <v>8</v>
      </c>
      <c r="K26" s="92"/>
      <c r="L26" s="91">
        <v>4</v>
      </c>
      <c r="M26" s="92"/>
      <c r="N26" s="91">
        <v>4</v>
      </c>
      <c r="O26" s="92"/>
      <c r="P26" s="91">
        <v>8</v>
      </c>
      <c r="Q26" s="92"/>
      <c r="R26" s="91">
        <v>5</v>
      </c>
      <c r="S26" s="92"/>
      <c r="T26" s="91"/>
      <c r="U26" s="92"/>
      <c r="V26" s="91"/>
      <c r="W26" s="92"/>
      <c r="X26" s="91"/>
      <c r="Y26" s="92"/>
      <c r="Z26" s="91"/>
      <c r="AA26" s="92"/>
      <c r="AB26" s="91"/>
      <c r="AC26" s="92"/>
      <c r="AD26" s="91"/>
      <c r="AE26" s="92"/>
      <c r="AF26" s="2"/>
      <c r="AJ26" s="22" t="s">
        <v>118</v>
      </c>
      <c r="AK26" s="2"/>
      <c r="AL26" s="86">
        <f>IF(G25="",IF(F26="","",F26),AM25-AK25)</f>
        <v>12</v>
      </c>
      <c r="AM26" s="87"/>
      <c r="AN26" s="86">
        <f>IF(I25="",IF(H26="","",H26),AO25-AM25)</f>
        <v>5</v>
      </c>
      <c r="AO26" s="87"/>
      <c r="AP26" s="86">
        <f>IF(K25="",IF(J26="","",J26),AQ25-AO25)</f>
        <v>8</v>
      </c>
      <c r="AQ26" s="87"/>
      <c r="AR26" s="86">
        <f>IF(M25="",IF(L26="","",L26),AS25-AQ25)</f>
        <v>4</v>
      </c>
      <c r="AS26" s="87"/>
      <c r="AT26" s="86">
        <f>IF(O25="",IF(N26="","",N26),AU25-AS25)</f>
        <v>4</v>
      </c>
      <c r="AU26" s="87"/>
      <c r="AV26" s="86">
        <f>IF(Q25="",IF(P26="","",P26),AW25-AU25)</f>
        <v>8</v>
      </c>
      <c r="AW26" s="87"/>
      <c r="AX26" s="86">
        <f>IF(S25="",IF(R26="","",R26),AY25-AW25)</f>
        <v>5</v>
      </c>
      <c r="AY26" s="87"/>
      <c r="AZ26" s="86" t="str">
        <f>IF(U25="",IF(T26="","",T26),BA25-AY25)</f>
        <v/>
      </c>
      <c r="BA26" s="87"/>
      <c r="BB26" s="86" t="str">
        <f>IF(W25="",IF(V26="","",V26),BC25-BA25)</f>
        <v/>
      </c>
      <c r="BC26" s="87"/>
      <c r="BD26" s="86" t="str">
        <f>IF(Y25="",IF(X26="","",X26),BE25-BC25)</f>
        <v/>
      </c>
      <c r="BE26" s="87"/>
      <c r="BF26" s="86" t="str">
        <f>IF(AA25="",IF(Z26="","",Z26),BG25-BE25)</f>
        <v/>
      </c>
      <c r="BG26" s="87"/>
      <c r="BH26" s="86" t="str">
        <f>IF(AC25="",IF(AB26="","",AB26),BI25-BG25)</f>
        <v/>
      </c>
      <c r="BI26" s="87"/>
      <c r="BJ26" s="86" t="str">
        <f>IF(AE25="",IF(AD26="","",AD26),BK25-BI25)</f>
        <v/>
      </c>
      <c r="BK26" s="87"/>
      <c r="BL26" s="86" t="str">
        <f>IF(AG25="",IF(AF26="","",AF26),BM25-BK25)</f>
        <v/>
      </c>
      <c r="BM26" s="87"/>
      <c r="BN26" s="19"/>
    </row>
    <row r="27" spans="2:66" ht="12.75" customHeight="1" x14ac:dyDescent="0.2">
      <c r="B27" s="62"/>
      <c r="D27" s="22" t="s">
        <v>4</v>
      </c>
      <c r="E27" s="21"/>
      <c r="F27" s="117" t="s">
        <v>1</v>
      </c>
      <c r="G27" s="142"/>
      <c r="H27" s="117" t="s">
        <v>3</v>
      </c>
      <c r="I27" s="142"/>
      <c r="J27" s="117" t="s">
        <v>1</v>
      </c>
      <c r="K27" s="142"/>
      <c r="L27" s="117" t="s">
        <v>1</v>
      </c>
      <c r="M27" s="142"/>
      <c r="N27" s="117" t="s">
        <v>1</v>
      </c>
      <c r="O27" s="142"/>
      <c r="P27" s="117" t="s">
        <v>1</v>
      </c>
      <c r="Q27" s="142"/>
      <c r="R27" s="117" t="s">
        <v>0</v>
      </c>
      <c r="S27" s="142"/>
      <c r="T27" s="117"/>
      <c r="U27" s="142"/>
      <c r="V27" s="117"/>
      <c r="W27" s="142"/>
      <c r="X27" s="117"/>
      <c r="Y27" s="142"/>
      <c r="Z27" s="117"/>
      <c r="AA27" s="118"/>
      <c r="AB27" s="117"/>
      <c r="AC27" s="118"/>
      <c r="AD27" s="117"/>
      <c r="AE27" s="118"/>
      <c r="AF27" s="2"/>
    </row>
    <row r="28" spans="2:66" ht="12.75" customHeight="1" x14ac:dyDescent="0.2">
      <c r="B28" s="62"/>
      <c r="E28" s="3"/>
      <c r="F28" s="3"/>
      <c r="G28" s="3"/>
    </row>
    <row r="29" spans="2:66" ht="12.75" customHeight="1" x14ac:dyDescent="0.2">
      <c r="H29" s="4"/>
      <c r="I29" s="4"/>
      <c r="J29" s="4"/>
      <c r="K29" s="4"/>
      <c r="L29" s="4"/>
      <c r="M29" s="4"/>
      <c r="N29" s="4"/>
      <c r="O29" s="4"/>
      <c r="P29" s="4"/>
      <c r="Q29" s="4"/>
      <c r="R29" s="4"/>
      <c r="S29" s="4"/>
      <c r="T29" s="4"/>
      <c r="U29" s="4"/>
      <c r="V29" s="4"/>
      <c r="W29" s="4"/>
      <c r="X29" s="4"/>
      <c r="Y29" s="4"/>
    </row>
    <row r="30" spans="2:66" ht="18" x14ac:dyDescent="0.2">
      <c r="B30" s="77" t="s">
        <v>342</v>
      </c>
      <c r="C30" s="74"/>
      <c r="AK30" s="89"/>
      <c r="AL30" s="90"/>
      <c r="AM30" s="89"/>
      <c r="AN30" s="90"/>
      <c r="AO30" s="89"/>
      <c r="AP30" s="90"/>
      <c r="AQ30" s="89"/>
      <c r="AR30" s="90"/>
      <c r="AS30" s="89"/>
      <c r="AT30" s="90"/>
      <c r="AU30" s="89"/>
      <c r="AV30" s="90"/>
      <c r="AW30" s="89"/>
      <c r="AX30" s="90"/>
      <c r="AY30" s="89"/>
      <c r="AZ30" s="90"/>
      <c r="BA30" s="89"/>
      <c r="BB30" s="90"/>
      <c r="BC30" s="89"/>
      <c r="BD30" s="90"/>
    </row>
    <row r="31" spans="2:66" ht="12.75" customHeight="1" x14ac:dyDescent="0.2">
      <c r="B31" s="33" t="s">
        <v>32</v>
      </c>
      <c r="C31" s="20" t="s">
        <v>111</v>
      </c>
      <c r="D31" s="66" t="s">
        <v>110</v>
      </c>
      <c r="E31" s="112" t="str">
        <f>General!F72</f>
        <v>A</v>
      </c>
      <c r="F31" s="113"/>
      <c r="G31" s="112" t="str">
        <f>General!F73</f>
        <v>B</v>
      </c>
      <c r="H31" s="113"/>
      <c r="I31" s="112" t="str">
        <f>General!F74</f>
        <v>C</v>
      </c>
      <c r="J31" s="113"/>
      <c r="K31" s="112" t="str">
        <f>General!F75</f>
        <v>D</v>
      </c>
      <c r="L31" s="113"/>
      <c r="M31" s="112" t="str">
        <f>General!F76</f>
        <v>E</v>
      </c>
      <c r="N31" s="113"/>
      <c r="O31" s="112" t="str">
        <f>General!F77</f>
        <v>F</v>
      </c>
      <c r="P31" s="113"/>
      <c r="Q31" s="112" t="str">
        <f>General!F78</f>
        <v>G</v>
      </c>
      <c r="R31" s="113"/>
      <c r="S31" s="112" t="str">
        <f>General!F79</f>
        <v>H</v>
      </c>
      <c r="T31" s="113"/>
      <c r="U31" s="112" t="str">
        <f>General!F80</f>
        <v>I</v>
      </c>
      <c r="V31" s="113"/>
      <c r="W31" s="112" t="str">
        <f>General!F81</f>
        <v>J</v>
      </c>
      <c r="X31" s="113"/>
      <c r="Y31" s="112" t="str">
        <f>General!F82</f>
        <v>K</v>
      </c>
      <c r="Z31" s="113"/>
      <c r="AA31" s="112" t="str">
        <f>General!F83</f>
        <v>L</v>
      </c>
      <c r="AB31" s="113"/>
      <c r="AC31" s="112" t="str">
        <f>General!F84</f>
        <v>M</v>
      </c>
      <c r="AD31" s="113"/>
      <c r="AE31" s="112" t="str">
        <f>General!F85</f>
        <v>N</v>
      </c>
      <c r="AF31" s="113"/>
    </row>
    <row r="32" spans="2:66" ht="20.100000000000001" customHeight="1" x14ac:dyDescent="0.2">
      <c r="B32" s="133" t="s">
        <v>27</v>
      </c>
      <c r="C32" s="129" t="str">
        <f>IF(AI8="","",FIXED(AI8,2))</f>
        <v/>
      </c>
      <c r="D32" s="19"/>
      <c r="E32" s="11"/>
      <c r="F32" s="11"/>
      <c r="G32" s="11"/>
      <c r="H32" s="11"/>
      <c r="I32" s="11"/>
      <c r="J32" s="12"/>
      <c r="K32" s="11"/>
      <c r="L32" s="11"/>
      <c r="M32" s="11"/>
      <c r="N32" s="11"/>
      <c r="O32" s="11"/>
      <c r="P32" s="11"/>
      <c r="Q32" s="11"/>
      <c r="R32" s="11"/>
      <c r="S32" s="11"/>
      <c r="T32" s="11"/>
      <c r="U32" s="11"/>
      <c r="V32" s="11"/>
      <c r="W32" s="11"/>
      <c r="X32" s="11"/>
    </row>
    <row r="33" spans="2:66" ht="20.100000000000001" customHeight="1" x14ac:dyDescent="0.2">
      <c r="B33" s="130"/>
      <c r="C33" s="130"/>
      <c r="D33" s="129" t="str">
        <f>IF(AJ9="","",FIXED(AJ9,2))</f>
        <v/>
      </c>
      <c r="E33" s="11"/>
      <c r="F33" s="11"/>
      <c r="G33" s="11"/>
      <c r="H33" s="11"/>
      <c r="I33" s="11"/>
      <c r="J33" s="12"/>
      <c r="K33" s="11"/>
      <c r="L33" s="11"/>
      <c r="M33" s="11"/>
      <c r="N33" s="11"/>
      <c r="O33" s="11"/>
      <c r="P33" s="11"/>
      <c r="Q33" s="11"/>
      <c r="R33" s="11"/>
      <c r="S33" s="11"/>
      <c r="T33" s="11"/>
      <c r="U33" s="11"/>
      <c r="V33" s="11"/>
      <c r="W33" s="11"/>
      <c r="X33" s="11"/>
    </row>
    <row r="34" spans="2:66" ht="20.100000000000001" customHeight="1" x14ac:dyDescent="0.2">
      <c r="B34" s="133" t="s">
        <v>28</v>
      </c>
      <c r="C34" s="129" t="str">
        <f>IF(AI10="","",FIXED(AI10,2))</f>
        <v/>
      </c>
      <c r="D34" s="130"/>
      <c r="E34" s="11"/>
      <c r="F34" s="11"/>
      <c r="G34" s="11"/>
      <c r="H34" s="11"/>
      <c r="I34" s="11"/>
      <c r="J34" s="11"/>
      <c r="K34" s="11"/>
      <c r="L34" s="11"/>
      <c r="M34" s="11"/>
      <c r="N34" s="11"/>
      <c r="O34" s="11"/>
      <c r="P34" s="11"/>
      <c r="Q34" s="11"/>
      <c r="R34" s="11"/>
      <c r="S34" s="11"/>
      <c r="T34" s="11"/>
      <c r="U34" s="11"/>
      <c r="V34" s="11"/>
      <c r="W34" s="11"/>
      <c r="X34" s="11"/>
    </row>
    <row r="35" spans="2:66" ht="20.100000000000001" customHeight="1" x14ac:dyDescent="0.2">
      <c r="B35" s="130"/>
      <c r="C35" s="130"/>
      <c r="D35" s="129" t="str">
        <f>IF(AJ11="","",FIXED(AJ11,2))</f>
        <v/>
      </c>
      <c r="E35" s="11"/>
      <c r="F35" s="11"/>
      <c r="G35" s="11"/>
      <c r="H35" s="11"/>
      <c r="I35" s="11"/>
      <c r="J35" s="11"/>
      <c r="K35" s="11"/>
      <c r="L35" s="11"/>
      <c r="M35" s="11"/>
      <c r="N35" s="11"/>
      <c r="O35" s="11"/>
      <c r="P35" s="11"/>
      <c r="Q35" s="11"/>
      <c r="R35" s="11"/>
      <c r="S35" s="11"/>
      <c r="T35" s="11"/>
      <c r="U35" s="11"/>
      <c r="V35" s="11"/>
      <c r="W35" s="11"/>
      <c r="X35" s="11"/>
    </row>
    <row r="36" spans="2:66" ht="20.100000000000001" customHeight="1" x14ac:dyDescent="0.2">
      <c r="B36" s="133" t="s">
        <v>29</v>
      </c>
      <c r="C36" s="129" t="str">
        <f>IF(AI12="","",FIXED(AI12,2))</f>
        <v/>
      </c>
      <c r="D36" s="130"/>
      <c r="E36" s="11"/>
      <c r="F36" s="11"/>
      <c r="G36" s="11"/>
      <c r="H36" s="11"/>
      <c r="I36" s="11"/>
      <c r="J36" s="11"/>
      <c r="K36" s="11"/>
      <c r="L36" s="11"/>
      <c r="M36" s="11"/>
      <c r="N36" s="11"/>
      <c r="O36" s="11"/>
      <c r="P36" s="11"/>
      <c r="Q36" s="11"/>
      <c r="R36" s="11"/>
      <c r="S36" s="11"/>
      <c r="T36" s="11"/>
      <c r="U36" s="11"/>
      <c r="V36" s="11"/>
      <c r="W36" s="11"/>
      <c r="X36" s="11"/>
    </row>
    <row r="37" spans="2:66" ht="20.100000000000001" customHeight="1" x14ac:dyDescent="0.2">
      <c r="B37" s="130"/>
      <c r="C37" s="130"/>
      <c r="D37" s="129" t="str">
        <f>IF(AJ13="","",FIXED(AJ13,2))</f>
        <v/>
      </c>
      <c r="E37" s="11"/>
      <c r="F37" s="11"/>
      <c r="G37" s="11"/>
      <c r="H37" s="11"/>
      <c r="I37" s="11"/>
      <c r="J37" s="11"/>
      <c r="K37" s="11"/>
      <c r="L37" s="11"/>
      <c r="M37" s="11"/>
      <c r="N37" s="11"/>
      <c r="O37" s="11"/>
      <c r="P37" s="11"/>
      <c r="Q37" s="11"/>
      <c r="R37" s="11"/>
      <c r="S37" s="11"/>
      <c r="T37" s="11"/>
      <c r="U37" s="11"/>
      <c r="V37" s="11"/>
      <c r="W37" s="11"/>
      <c r="X37" s="11"/>
    </row>
    <row r="38" spans="2:66" ht="20.100000000000001" customHeight="1" x14ac:dyDescent="0.2">
      <c r="B38" s="133" t="s">
        <v>30</v>
      </c>
      <c r="C38" s="129" t="str">
        <f>IF(AI14="","",FIXED(AI14,2))</f>
        <v>148.00</v>
      </c>
      <c r="D38" s="130"/>
      <c r="E38" s="11"/>
      <c r="F38" s="11"/>
      <c r="G38" s="11"/>
      <c r="H38" s="11"/>
      <c r="I38" s="11"/>
      <c r="J38" s="11"/>
      <c r="K38" s="11"/>
      <c r="L38" s="11"/>
      <c r="M38" s="11"/>
      <c r="N38" s="11"/>
      <c r="O38" s="11"/>
      <c r="P38" s="11"/>
      <c r="Q38" s="11"/>
      <c r="R38" s="11"/>
      <c r="S38" s="11"/>
      <c r="T38" s="11"/>
      <c r="U38" s="11"/>
      <c r="V38" s="11"/>
      <c r="W38" s="11"/>
      <c r="X38" s="11"/>
    </row>
    <row r="39" spans="2:66" ht="20.100000000000001" customHeight="1" x14ac:dyDescent="0.2">
      <c r="B39" s="130"/>
      <c r="C39" s="130"/>
      <c r="D39" s="129" t="str">
        <f>IF(AJ15="","",FIXED(AJ15,2))</f>
        <v>8.00</v>
      </c>
      <c r="E39" s="11"/>
      <c r="F39" s="11"/>
      <c r="G39" s="11"/>
      <c r="H39" s="11"/>
      <c r="I39" s="11"/>
      <c r="J39" s="11"/>
      <c r="K39" s="11"/>
      <c r="L39" s="11"/>
      <c r="M39" s="11"/>
      <c r="N39" s="11"/>
      <c r="O39" s="11"/>
      <c r="P39" s="11"/>
      <c r="Q39" s="11"/>
      <c r="R39" s="11"/>
      <c r="S39" s="11"/>
      <c r="T39" s="11"/>
      <c r="U39" s="11"/>
      <c r="V39" s="11"/>
      <c r="W39" s="11"/>
      <c r="X39" s="11"/>
    </row>
    <row r="40" spans="2:66" ht="20.100000000000001" customHeight="1" x14ac:dyDescent="0.2">
      <c r="B40" s="133" t="s">
        <v>26</v>
      </c>
      <c r="C40" s="129" t="str">
        <f>IF(AI16="","",FIXED(AI16,2))</f>
        <v>140.00</v>
      </c>
      <c r="D40" s="130"/>
      <c r="E40" s="11"/>
      <c r="F40" s="11"/>
      <c r="G40" s="11"/>
      <c r="H40" s="11"/>
      <c r="I40" s="11"/>
      <c r="J40" s="11"/>
      <c r="K40" s="11"/>
      <c r="L40" s="11"/>
      <c r="M40" s="11"/>
      <c r="N40" s="11"/>
      <c r="O40" s="11"/>
      <c r="P40" s="11"/>
      <c r="Q40" s="11"/>
      <c r="R40" s="11"/>
      <c r="S40" s="11"/>
      <c r="T40" s="11"/>
      <c r="U40" s="11"/>
      <c r="V40" s="11"/>
      <c r="W40" s="11"/>
      <c r="X40" s="11"/>
    </row>
    <row r="41" spans="2:66" ht="20.100000000000001" customHeight="1" x14ac:dyDescent="0.2">
      <c r="B41" s="130"/>
      <c r="C41" s="130"/>
      <c r="D41" s="129" t="str">
        <f>IF(AJ17="","",FIXED(AJ17,2))</f>
        <v>8.00</v>
      </c>
      <c r="E41" s="11"/>
      <c r="F41" s="11"/>
      <c r="G41" s="11"/>
      <c r="H41" s="11"/>
      <c r="I41" s="11"/>
      <c r="J41" s="11"/>
      <c r="K41" s="11"/>
      <c r="L41" s="11"/>
      <c r="M41" s="11"/>
      <c r="N41" s="11"/>
      <c r="O41" s="11"/>
      <c r="P41" s="11"/>
      <c r="Q41" s="11"/>
      <c r="R41" s="11"/>
      <c r="S41" s="11"/>
      <c r="T41" s="11"/>
      <c r="U41" s="11"/>
      <c r="V41" s="11"/>
      <c r="W41" s="11"/>
      <c r="X41" s="11"/>
    </row>
    <row r="42" spans="2:66" ht="20.100000000000001" customHeight="1" x14ac:dyDescent="0.2">
      <c r="B42" s="133" t="s">
        <v>25</v>
      </c>
      <c r="C42" s="129" t="str">
        <f>IF(AI18="","",FIXED(AI18,2))</f>
        <v>132.00</v>
      </c>
      <c r="D42" s="130"/>
      <c r="E42" s="11"/>
      <c r="F42" s="11"/>
      <c r="G42" s="11"/>
      <c r="H42" s="11"/>
      <c r="I42" s="11"/>
      <c r="J42" s="11"/>
      <c r="K42" s="11"/>
      <c r="L42" s="11"/>
      <c r="M42" s="11"/>
      <c r="N42" s="11"/>
      <c r="O42" s="11"/>
      <c r="P42" s="11"/>
      <c r="Q42" s="11"/>
      <c r="R42" s="11"/>
      <c r="S42" s="11"/>
      <c r="T42" s="11"/>
      <c r="U42" s="11"/>
      <c r="V42" s="11"/>
      <c r="W42" s="11"/>
      <c r="X42" s="11"/>
    </row>
    <row r="43" spans="2:66" ht="20.100000000000001" customHeight="1" x14ac:dyDescent="0.2">
      <c r="B43" s="130"/>
      <c r="C43" s="130"/>
      <c r="D43" s="129" t="str">
        <f>IF(AJ19="","",FIXED(AJ19,2))</f>
        <v>4.00</v>
      </c>
      <c r="E43" s="11"/>
      <c r="F43" s="11"/>
      <c r="G43" s="11"/>
      <c r="H43" s="11"/>
      <c r="I43" s="11"/>
      <c r="J43" s="11"/>
      <c r="K43" s="11"/>
      <c r="L43" s="11"/>
      <c r="M43" s="11"/>
      <c r="N43" s="11"/>
      <c r="O43" s="11"/>
      <c r="P43" s="11"/>
      <c r="Q43" s="11"/>
      <c r="R43" s="11"/>
      <c r="S43" s="11"/>
      <c r="T43" s="11"/>
      <c r="U43" s="11"/>
      <c r="V43" s="11"/>
      <c r="W43" s="11"/>
      <c r="X43" s="11"/>
    </row>
    <row r="44" spans="2:66" ht="20.100000000000001" customHeight="1" x14ac:dyDescent="0.2">
      <c r="B44" s="133" t="s">
        <v>117</v>
      </c>
      <c r="C44" s="129" t="str">
        <f>IF(AI20="","",FIXED(AI20,2))</f>
        <v>128.00</v>
      </c>
      <c r="D44" s="130"/>
      <c r="E44" s="11"/>
      <c r="F44" s="11"/>
      <c r="G44" s="11"/>
      <c r="H44" s="11"/>
      <c r="I44" s="11"/>
      <c r="J44" s="11"/>
      <c r="K44" s="11"/>
      <c r="L44" s="11"/>
      <c r="M44" s="11"/>
      <c r="N44" s="11"/>
      <c r="O44" s="11"/>
      <c r="P44" s="11"/>
      <c r="Q44" s="11"/>
      <c r="R44" s="11"/>
      <c r="S44" s="11"/>
      <c r="T44" s="11"/>
      <c r="U44" s="11"/>
      <c r="V44" s="11"/>
      <c r="W44" s="11"/>
      <c r="X44" s="11"/>
    </row>
    <row r="45" spans="2:66" ht="20.100000000000001" customHeight="1" x14ac:dyDescent="0.2">
      <c r="B45" s="130"/>
      <c r="C45" s="130"/>
      <c r="D45" s="19"/>
      <c r="E45" s="11"/>
      <c r="F45" s="11"/>
      <c r="G45" s="11"/>
      <c r="H45" s="11"/>
      <c r="I45" s="11"/>
      <c r="J45" s="11"/>
      <c r="K45" s="11"/>
      <c r="L45" s="11"/>
      <c r="M45" s="11"/>
      <c r="N45" s="11"/>
      <c r="O45" s="11"/>
      <c r="P45" s="11"/>
      <c r="Q45" s="11"/>
      <c r="R45" s="11"/>
      <c r="S45" s="11"/>
      <c r="T45" s="11"/>
      <c r="U45" s="11"/>
      <c r="V45" s="11"/>
      <c r="W45" s="11"/>
      <c r="X45" s="11"/>
    </row>
    <row r="46" spans="2:66" ht="12.75" customHeight="1" x14ac:dyDescent="0.2">
      <c r="B46" s="6"/>
      <c r="C46" s="6"/>
      <c r="D46" s="2" t="s">
        <v>345</v>
      </c>
      <c r="E46" s="83" t="str">
        <f>IF(AK49="",E31,CONCATENATE(E31," (",FIXED(AK49,2),")"))</f>
        <v>A (5.00)</v>
      </c>
      <c r="F46" s="84"/>
      <c r="G46" s="83" t="str">
        <f>IF(AM49="",G31,CONCATENATE(G31," (",FIXED(AM49,2),")"))</f>
        <v>B (13.00)</v>
      </c>
      <c r="H46" s="84"/>
      <c r="I46" s="83" t="str">
        <f>IF(AO49="",I31,CONCATENATE(I31," (",FIXED(AO49,2),")"))</f>
        <v>C (17.00)</v>
      </c>
      <c r="J46" s="84"/>
      <c r="K46" s="83" t="str">
        <f>IF(AQ49="",K31,CONCATENATE(K31," (",FIXED(AQ49,2),")"))</f>
        <v>D (19.00)</v>
      </c>
      <c r="L46" s="84"/>
      <c r="M46" s="83" t="str">
        <f>IF(AS49="",M31,CONCATENATE(M31," (",FIXED(AS49,2),")"))</f>
        <v>E (21.00)</v>
      </c>
      <c r="N46" s="84"/>
      <c r="O46" s="83" t="str">
        <f>IF(AU49="",O31,CONCATENATE(O31," (",FIXED(AU49,2),")"))</f>
        <v>F (25.00)</v>
      </c>
      <c r="P46" s="84"/>
      <c r="Q46" s="83" t="str">
        <f>IF(AW49="",Q31,CONCATENATE(Q31," (",FIXED(AW49,2),")"))</f>
        <v>G (29.00)</v>
      </c>
      <c r="R46" s="84"/>
      <c r="S46" s="83" t="str">
        <f>IF(AY49="",S31,CONCATENATE(S31," (",FIXED(AY49,2),")"))</f>
        <v>H (37.00)</v>
      </c>
      <c r="T46" s="84"/>
      <c r="U46" s="83" t="str">
        <f>IF(BA49="",U31,CONCATENATE(U31," (",FIXED(BA49,2),")"))</f>
        <v>I</v>
      </c>
      <c r="V46" s="84"/>
      <c r="W46" s="83" t="str">
        <f>IF(BC49="",W31,CONCATENATE(W31," (",FIXED(BC49,2),")"))</f>
        <v>J</v>
      </c>
      <c r="X46" s="84"/>
      <c r="Y46" s="83" t="str">
        <f>IF(BE49="",Y31,CONCATENATE(Y31," (",FIXED(BE49,2),")"))</f>
        <v>K</v>
      </c>
      <c r="Z46" s="84"/>
      <c r="AA46" s="83" t="str">
        <f>IF(BG49="",AA31,CONCATENATE(AA31," (",FIXED(BG49,2),")"))</f>
        <v>L</v>
      </c>
      <c r="AB46" s="84"/>
      <c r="AC46" s="83" t="str">
        <f>IF(BI49="",AC31,CONCATENATE(AC31," (",FIXED(BI49,2),")"))</f>
        <v>M</v>
      </c>
      <c r="AD46" s="84"/>
      <c r="AE46" s="83" t="str">
        <f>IF(BK49="",AE31,CONCATENATE(AE31," (",FIXED(BK49,2),")"))</f>
        <v>N</v>
      </c>
      <c r="AF46" s="84"/>
      <c r="AJ46" s="23" t="s">
        <v>121</v>
      </c>
      <c r="AK46" s="83" t="s">
        <v>6</v>
      </c>
      <c r="AL46" s="98"/>
      <c r="AM46" s="83" t="s">
        <v>7</v>
      </c>
      <c r="AN46" s="98"/>
      <c r="AO46" s="83" t="s">
        <v>8</v>
      </c>
      <c r="AP46" s="98"/>
      <c r="AQ46" s="83" t="s">
        <v>9</v>
      </c>
      <c r="AR46" s="98"/>
      <c r="AS46" s="83" t="s">
        <v>10</v>
      </c>
      <c r="AT46" s="98"/>
      <c r="AU46" s="83" t="s">
        <v>11</v>
      </c>
      <c r="AV46" s="98"/>
      <c r="AW46" s="83" t="s">
        <v>12</v>
      </c>
      <c r="AX46" s="98"/>
      <c r="AY46" s="83" t="s">
        <v>13</v>
      </c>
      <c r="AZ46" s="98"/>
      <c r="BA46" s="83" t="s">
        <v>14</v>
      </c>
      <c r="BB46" s="98"/>
      <c r="BC46" s="83" t="s">
        <v>126</v>
      </c>
      <c r="BD46" s="98"/>
      <c r="BE46" s="83" t="s">
        <v>6</v>
      </c>
      <c r="BF46" s="98"/>
      <c r="BG46" s="83" t="s">
        <v>7</v>
      </c>
      <c r="BH46" s="98"/>
      <c r="BI46" s="83" t="s">
        <v>8</v>
      </c>
      <c r="BJ46" s="98"/>
      <c r="BK46" s="83" t="s">
        <v>9</v>
      </c>
      <c r="BL46" s="98"/>
      <c r="BM46" s="83" t="s">
        <v>10</v>
      </c>
      <c r="BN46" s="98"/>
    </row>
    <row r="47" spans="2:66" ht="12.75" customHeight="1" x14ac:dyDescent="0.2">
      <c r="B47" s="6"/>
      <c r="C47" s="6"/>
      <c r="D47" s="2" t="s">
        <v>384</v>
      </c>
      <c r="E47" s="91" t="s">
        <v>363</v>
      </c>
      <c r="F47" s="92"/>
      <c r="G47" s="91" t="s">
        <v>515</v>
      </c>
      <c r="H47" s="92"/>
      <c r="I47" s="91" t="s">
        <v>362</v>
      </c>
      <c r="J47" s="92"/>
      <c r="K47" s="91" t="s">
        <v>515</v>
      </c>
      <c r="L47" s="92"/>
      <c r="M47" s="91" t="s">
        <v>515</v>
      </c>
      <c r="N47" s="92"/>
      <c r="O47" s="91" t="s">
        <v>362</v>
      </c>
      <c r="P47" s="92"/>
      <c r="Q47" s="91" t="s">
        <v>515</v>
      </c>
      <c r="R47" s="92"/>
      <c r="S47" s="91" t="s">
        <v>363</v>
      </c>
      <c r="T47" s="92"/>
      <c r="U47" s="91"/>
      <c r="V47" s="92"/>
      <c r="W47" s="91"/>
      <c r="X47" s="92"/>
      <c r="Y47" s="91"/>
      <c r="Z47" s="92"/>
      <c r="AA47" s="91" t="s">
        <v>385</v>
      </c>
      <c r="AB47" s="92"/>
      <c r="AC47" s="91" t="s">
        <v>385</v>
      </c>
      <c r="AD47" s="92"/>
      <c r="AE47" s="91" t="s">
        <v>385</v>
      </c>
      <c r="AF47" s="92"/>
      <c r="AJ47" s="24" t="s">
        <v>124</v>
      </c>
      <c r="AK47" s="86" t="str">
        <f>IF(E47="","",E47)</f>
        <v>HE800B</v>
      </c>
      <c r="AL47" s="84"/>
      <c r="AM47" s="86" t="str">
        <f>IF(G47="","",G47)</f>
        <v>No_Beam</v>
      </c>
      <c r="AN47" s="84"/>
      <c r="AO47" s="86" t="str">
        <f>IF(I47="","",I47)</f>
        <v>HE600B</v>
      </c>
      <c r="AP47" s="84"/>
      <c r="AQ47" s="86" t="str">
        <f>IF(K47="","",K47)</f>
        <v>No_Beam</v>
      </c>
      <c r="AR47" s="84"/>
      <c r="AS47" s="86" t="str">
        <f>IF(M47="","",M47)</f>
        <v>No_Beam</v>
      </c>
      <c r="AT47" s="84"/>
      <c r="AU47" s="86" t="str">
        <f>IF(O47="","",O47)</f>
        <v>HE600B</v>
      </c>
      <c r="AV47" s="84"/>
      <c r="AW47" s="86" t="str">
        <f>IF(Q47="","",Q47)</f>
        <v>No_Beam</v>
      </c>
      <c r="AX47" s="84"/>
      <c r="AY47" s="86" t="str">
        <f>IF(S47="","",S47)</f>
        <v>HE800B</v>
      </c>
      <c r="AZ47" s="84"/>
      <c r="BA47" s="86" t="str">
        <f>IF(U47="","",U47)</f>
        <v/>
      </c>
      <c r="BB47" s="84"/>
      <c r="BC47" s="86" t="str">
        <f>IF(W47="","",W47)</f>
        <v/>
      </c>
      <c r="BD47" s="84"/>
      <c r="BE47" s="86" t="str">
        <f>IF(Y47="","",Y47)</f>
        <v/>
      </c>
      <c r="BF47" s="84"/>
      <c r="BG47" s="86" t="str">
        <f>IF(AA47="","",AA47)</f>
        <v/>
      </c>
      <c r="BH47" s="84"/>
      <c r="BI47" s="86" t="str">
        <f>IF(AC47="","",AC47)</f>
        <v/>
      </c>
      <c r="BJ47" s="84"/>
      <c r="BK47" s="86" t="str">
        <f>IF(AE47="","",AE47)</f>
        <v/>
      </c>
      <c r="BL47" s="84"/>
      <c r="BM47" s="86" t="str">
        <f>IF(AG47="","",AG47)</f>
        <v/>
      </c>
      <c r="BN47" s="84"/>
    </row>
    <row r="48" spans="2:66" ht="12.75" customHeight="1" x14ac:dyDescent="0.2">
      <c r="D48" s="28" t="s">
        <v>457</v>
      </c>
      <c r="E48" s="91" t="s">
        <v>457</v>
      </c>
      <c r="F48" s="92"/>
      <c r="G48" s="91" t="s">
        <v>457</v>
      </c>
      <c r="H48" s="92"/>
      <c r="I48" s="91" t="s">
        <v>457</v>
      </c>
      <c r="J48" s="92"/>
      <c r="K48" s="91" t="s">
        <v>459</v>
      </c>
      <c r="L48" s="92"/>
      <c r="M48" s="91" t="s">
        <v>459</v>
      </c>
      <c r="N48" s="92"/>
      <c r="O48" s="91" t="s">
        <v>457</v>
      </c>
      <c r="P48" s="92"/>
      <c r="Q48" s="91" t="s">
        <v>457</v>
      </c>
      <c r="R48" s="92"/>
      <c r="S48" s="91" t="s">
        <v>457</v>
      </c>
      <c r="T48" s="92"/>
      <c r="U48" s="91"/>
      <c r="V48" s="92"/>
      <c r="W48" s="91"/>
      <c r="X48" s="92"/>
      <c r="Y48" s="91"/>
      <c r="Z48" s="92"/>
      <c r="AA48" s="91" t="s">
        <v>385</v>
      </c>
      <c r="AB48" s="92"/>
      <c r="AC48" s="91" t="s">
        <v>385</v>
      </c>
      <c r="AD48" s="92"/>
      <c r="AE48" s="91" t="s">
        <v>385</v>
      </c>
      <c r="AF48" s="92"/>
      <c r="AJ48" s="24" t="s">
        <v>457</v>
      </c>
      <c r="AK48" s="86" t="str">
        <f>IF(E48="","",E48)</f>
        <v>Column</v>
      </c>
      <c r="AL48" s="84"/>
      <c r="AM48" s="86" t="str">
        <f>IF(G48="","",G48)</f>
        <v>Column</v>
      </c>
      <c r="AN48" s="84"/>
      <c r="AO48" s="86" t="str">
        <f>IF(I48="","",I48)</f>
        <v>Column</v>
      </c>
      <c r="AP48" s="84"/>
      <c r="AQ48" s="86" t="str">
        <f>IF(K48="","",K48)</f>
        <v>No_Col</v>
      </c>
      <c r="AR48" s="84"/>
      <c r="AS48" s="86" t="str">
        <f>IF(M48="","",M48)</f>
        <v>No_Col</v>
      </c>
      <c r="AT48" s="84"/>
      <c r="AU48" s="86" t="str">
        <f>IF(O48="","",O48)</f>
        <v>Column</v>
      </c>
      <c r="AV48" s="84"/>
      <c r="AW48" s="86" t="str">
        <f>IF(Q48="","",Q48)</f>
        <v>Column</v>
      </c>
      <c r="AX48" s="84"/>
      <c r="AY48" s="86" t="str">
        <f>IF(S48="","",S48)</f>
        <v>Column</v>
      </c>
      <c r="AZ48" s="84"/>
      <c r="BA48" s="86" t="str">
        <f>IF(U48="","",U48)</f>
        <v/>
      </c>
      <c r="BB48" s="84"/>
      <c r="BC48" s="86" t="str">
        <f>IF(W48="","",W48)</f>
        <v/>
      </c>
      <c r="BD48" s="84"/>
      <c r="BE48" s="86" t="str">
        <f>IF(Y48="","",Y48)</f>
        <v/>
      </c>
      <c r="BF48" s="84"/>
      <c r="BG48" s="86" t="str">
        <f>IF(AA48="","",AA48)</f>
        <v/>
      </c>
      <c r="BH48" s="84"/>
      <c r="BI48" s="86" t="str">
        <f>IF(AC48="","",AC48)</f>
        <v/>
      </c>
      <c r="BJ48" s="84"/>
      <c r="BK48" s="86" t="str">
        <f>IF(AE48="","",AE48)</f>
        <v/>
      </c>
      <c r="BL48" s="84"/>
      <c r="BM48" s="86" t="str">
        <f>IF(AG48="","",AG48)</f>
        <v/>
      </c>
      <c r="BN48" s="84"/>
    </row>
    <row r="49" spans="2:66" ht="12.75" customHeight="1" x14ac:dyDescent="0.2">
      <c r="B49" s="6"/>
      <c r="C49" s="6"/>
      <c r="D49" s="28" t="s">
        <v>125</v>
      </c>
      <c r="E49" s="91">
        <v>5</v>
      </c>
      <c r="F49" s="92"/>
      <c r="G49" s="91"/>
      <c r="H49" s="92"/>
      <c r="I49" s="91"/>
      <c r="J49" s="92"/>
      <c r="K49" s="91"/>
      <c r="L49" s="92"/>
      <c r="M49" s="91"/>
      <c r="N49" s="92"/>
      <c r="O49" s="91"/>
      <c r="P49" s="92"/>
      <c r="Q49" s="91"/>
      <c r="R49" s="92"/>
      <c r="S49" s="91"/>
      <c r="T49" s="92"/>
      <c r="U49" s="91"/>
      <c r="V49" s="92"/>
      <c r="W49" s="91"/>
      <c r="X49" s="92"/>
      <c r="Y49" s="91"/>
      <c r="Z49" s="92"/>
      <c r="AA49" s="91"/>
      <c r="AB49" s="92"/>
      <c r="AC49" s="91"/>
      <c r="AD49" s="92"/>
      <c r="AE49" s="91"/>
      <c r="AF49" s="92"/>
      <c r="AJ49" s="24" t="s">
        <v>120</v>
      </c>
      <c r="AK49" s="111">
        <f>E49</f>
        <v>5</v>
      </c>
      <c r="AL49" s="84"/>
      <c r="AM49" s="86">
        <f>IF(G49="",IF(F50="","",AK49+F50),G49)</f>
        <v>13</v>
      </c>
      <c r="AN49" s="84"/>
      <c r="AO49" s="86">
        <f>IF(I49="",IF(H50="","",AM49+H50),I49)</f>
        <v>17</v>
      </c>
      <c r="AP49" s="84"/>
      <c r="AQ49" s="86">
        <f>IF(K49="",IF(J50="","",AO49+J50),K49)</f>
        <v>19</v>
      </c>
      <c r="AR49" s="84"/>
      <c r="AS49" s="86">
        <f>IF(M49="",IF(L50="","",AQ49+L50),M49)</f>
        <v>21</v>
      </c>
      <c r="AT49" s="84"/>
      <c r="AU49" s="86">
        <f>IF(O49="",IF(N50="","",AS49+N50),O49)</f>
        <v>25</v>
      </c>
      <c r="AV49" s="84"/>
      <c r="AW49" s="86">
        <f>IF(Q49="",IF(P50="","",AU49+P50),Q49)</f>
        <v>29</v>
      </c>
      <c r="AX49" s="84"/>
      <c r="AY49" s="86">
        <f>IF(S49="",IF(R50="","",AW49+R50),S49)</f>
        <v>37</v>
      </c>
      <c r="AZ49" s="84"/>
      <c r="BA49" s="86" t="str">
        <f>IF(U49="",IF(T50="","",AY49+T50),U49)</f>
        <v/>
      </c>
      <c r="BB49" s="84"/>
      <c r="BC49" s="86" t="str">
        <f>IF(W49="",IF(V50="","",BA49+V50),W49)</f>
        <v/>
      </c>
      <c r="BD49" s="84"/>
      <c r="BE49" s="86" t="str">
        <f>IF(Y49="",IF(X50="","",BC49+X50),Y49)</f>
        <v/>
      </c>
      <c r="BF49" s="84"/>
      <c r="BG49" s="86" t="str">
        <f>IF(AA49="",IF(Z50="","",BE49+Z50),AA49)</f>
        <v/>
      </c>
      <c r="BH49" s="84"/>
      <c r="BI49" s="86" t="str">
        <f>IF(AC49="",IF(AB50="","",BG49+AB50),AC49)</f>
        <v/>
      </c>
      <c r="BJ49" s="84"/>
      <c r="BK49" s="86" t="str">
        <f>IF(AE49="",IF(AD50="","",BI49+AD50),AE49)</f>
        <v/>
      </c>
      <c r="BL49" s="84"/>
      <c r="BM49" s="86" t="str">
        <f>IF(AG49="",IF(AF50="","",BK49+AF50),AG49)</f>
        <v/>
      </c>
      <c r="BN49" s="84"/>
    </row>
    <row r="50" spans="2:66" ht="12.75" customHeight="1" x14ac:dyDescent="0.2">
      <c r="B50" s="6"/>
      <c r="C50" s="6"/>
      <c r="D50" s="22" t="s">
        <v>118</v>
      </c>
      <c r="E50" s="21"/>
      <c r="F50" s="91">
        <v>8</v>
      </c>
      <c r="G50" s="92"/>
      <c r="H50" s="91">
        <v>4</v>
      </c>
      <c r="I50" s="92"/>
      <c r="J50" s="91">
        <v>2</v>
      </c>
      <c r="K50" s="92"/>
      <c r="L50" s="91">
        <v>2</v>
      </c>
      <c r="M50" s="92"/>
      <c r="N50" s="91">
        <v>4</v>
      </c>
      <c r="O50" s="92"/>
      <c r="P50" s="91">
        <v>4</v>
      </c>
      <c r="Q50" s="92"/>
      <c r="R50" s="91">
        <v>8</v>
      </c>
      <c r="S50" s="92"/>
      <c r="T50" s="91"/>
      <c r="U50" s="92"/>
      <c r="V50" s="91"/>
      <c r="W50" s="92"/>
      <c r="X50" s="91"/>
      <c r="Y50" s="92"/>
      <c r="Z50" s="91"/>
      <c r="AA50" s="92"/>
      <c r="AB50" s="91"/>
      <c r="AC50" s="92"/>
      <c r="AD50" s="91"/>
      <c r="AE50" s="92"/>
      <c r="AF50" s="2"/>
      <c r="AJ50" s="22" t="s">
        <v>118</v>
      </c>
      <c r="AK50" s="2"/>
      <c r="AL50" s="86">
        <f>IF(G49="",IF(F50="","",F50),AM49-AK49)</f>
        <v>8</v>
      </c>
      <c r="AM50" s="87"/>
      <c r="AN50" s="86">
        <f>IF(I49="",IF(H50="","",H50),AO49-AM49)</f>
        <v>4</v>
      </c>
      <c r="AO50" s="87"/>
      <c r="AP50" s="86">
        <f>IF(K49="",IF(J50="","",J50),AQ49-AO49)</f>
        <v>2</v>
      </c>
      <c r="AQ50" s="87"/>
      <c r="AR50" s="86">
        <f>IF(M49="",IF(L50="","",L50),AS49-AQ49)</f>
        <v>2</v>
      </c>
      <c r="AS50" s="87"/>
      <c r="AT50" s="86">
        <f>IF(O49="",IF(N50="","",N50),AU49-AS49)</f>
        <v>4</v>
      </c>
      <c r="AU50" s="87"/>
      <c r="AV50" s="86">
        <f>IF(Q49="",IF(P50="","",P50),AW49-AU49)</f>
        <v>4</v>
      </c>
      <c r="AW50" s="87"/>
      <c r="AX50" s="86">
        <f>IF(S49="",IF(R50="","",R50),AY49-AW49)</f>
        <v>8</v>
      </c>
      <c r="AY50" s="87"/>
      <c r="AZ50" s="86" t="str">
        <f>IF(U49="",IF(T50="","",T50),BA49-AY49)</f>
        <v/>
      </c>
      <c r="BA50" s="87"/>
      <c r="BB50" s="86" t="str">
        <f>IF(W49="",IF(V50="","",V50),BC49-BA49)</f>
        <v/>
      </c>
      <c r="BC50" s="87"/>
      <c r="BD50" s="86" t="str">
        <f>IF(Y49="",IF(X50="","",X50),BE49-BC49)</f>
        <v/>
      </c>
      <c r="BE50" s="87"/>
      <c r="BF50" s="86" t="str">
        <f>IF(AA49="",IF(Z50="","",Z50),BG49-BE49)</f>
        <v/>
      </c>
      <c r="BG50" s="87"/>
      <c r="BH50" s="86" t="str">
        <f>IF(AC49="",IF(AB50="","",AB50),BI49-BG49)</f>
        <v/>
      </c>
      <c r="BI50" s="87"/>
      <c r="BJ50" s="86" t="str">
        <f>IF(AE49="",IF(AD50="","",AD50),BK49-BI49)</f>
        <v/>
      </c>
      <c r="BK50" s="87"/>
      <c r="BL50" s="86" t="str">
        <f>IF(AG49="",IF(AF50="","",AF50),BM49-BK49)</f>
        <v/>
      </c>
      <c r="BM50" s="87"/>
      <c r="BN50" s="19"/>
    </row>
    <row r="51" spans="2:66" ht="12.75" customHeight="1" x14ac:dyDescent="0.2">
      <c r="D51" s="22" t="s">
        <v>4</v>
      </c>
      <c r="E51" s="21"/>
      <c r="F51" s="108" t="s">
        <v>1</v>
      </c>
      <c r="G51" s="114"/>
      <c r="H51" s="108" t="s">
        <v>0</v>
      </c>
      <c r="I51" s="114"/>
      <c r="J51" s="108" t="s">
        <v>1</v>
      </c>
      <c r="K51" s="114"/>
      <c r="L51" s="108" t="s">
        <v>1</v>
      </c>
      <c r="M51" s="114"/>
      <c r="N51" s="108" t="s">
        <v>1</v>
      </c>
      <c r="O51" s="114"/>
      <c r="P51" s="108" t="s">
        <v>2</v>
      </c>
      <c r="Q51" s="114"/>
      <c r="R51" s="108" t="s">
        <v>1</v>
      </c>
      <c r="S51" s="114"/>
      <c r="T51" s="108"/>
      <c r="U51" s="114"/>
      <c r="V51" s="108"/>
      <c r="W51" s="114"/>
      <c r="X51" s="108"/>
      <c r="Y51" s="114"/>
      <c r="Z51" s="108"/>
      <c r="AA51" s="92"/>
      <c r="AB51" s="108"/>
      <c r="AC51" s="92"/>
      <c r="AD51" s="108"/>
      <c r="AE51" s="92"/>
      <c r="AF51" s="2"/>
    </row>
    <row r="52" spans="2:66" ht="12.75" customHeight="1" x14ac:dyDescent="0.2">
      <c r="H52" s="4"/>
      <c r="I52" s="4"/>
      <c r="J52" s="4"/>
      <c r="K52" s="4"/>
      <c r="L52" s="4"/>
      <c r="M52" s="4"/>
      <c r="N52" s="4"/>
      <c r="O52" s="4"/>
      <c r="P52" s="4"/>
      <c r="Q52" s="4"/>
      <c r="R52" s="4"/>
      <c r="S52" s="4"/>
      <c r="T52" s="4"/>
      <c r="U52" s="4"/>
      <c r="V52" s="4"/>
      <c r="W52" s="4"/>
      <c r="X52" s="4"/>
      <c r="Y52" s="4"/>
      <c r="Z52" s="4"/>
      <c r="AA52" s="4"/>
      <c r="AB52" s="4"/>
      <c r="AC52" s="4"/>
    </row>
    <row r="53" spans="2:66" ht="12.75" customHeight="1" x14ac:dyDescent="0.2">
      <c r="H53" s="4"/>
      <c r="I53" s="4"/>
      <c r="J53" s="4"/>
      <c r="K53" s="4"/>
      <c r="L53" s="4"/>
      <c r="M53" s="4"/>
      <c r="N53" s="4"/>
      <c r="O53" s="4"/>
      <c r="P53" s="4"/>
      <c r="Q53" s="4"/>
      <c r="R53" s="4"/>
      <c r="S53" s="4"/>
      <c r="T53" s="4"/>
      <c r="U53" s="4"/>
      <c r="V53" s="4"/>
      <c r="W53" s="4"/>
      <c r="X53" s="4"/>
      <c r="Y53" s="4"/>
      <c r="Z53" s="4"/>
      <c r="AA53" s="4"/>
      <c r="AB53" s="4"/>
      <c r="AC53" s="4"/>
    </row>
    <row r="54" spans="2:66" ht="12.75" customHeight="1" thickBot="1" x14ac:dyDescent="0.25">
      <c r="B54" s="119" t="s">
        <v>76</v>
      </c>
      <c r="C54" s="123"/>
      <c r="D54" s="119"/>
      <c r="E54" s="123"/>
      <c r="F54" s="123"/>
      <c r="H54" s="4"/>
      <c r="I54" s="4"/>
      <c r="J54" s="4"/>
      <c r="K54" s="4"/>
      <c r="L54" s="4"/>
      <c r="M54" s="4"/>
      <c r="N54" s="4"/>
      <c r="O54" s="4"/>
      <c r="P54" s="4"/>
      <c r="Q54" s="4"/>
      <c r="R54" s="4"/>
      <c r="S54" s="4"/>
      <c r="T54" s="4"/>
      <c r="U54" s="4"/>
      <c r="V54" s="4"/>
      <c r="W54" s="4"/>
      <c r="X54" s="4"/>
      <c r="Y54" s="4"/>
      <c r="Z54" s="4"/>
      <c r="AA54" s="4"/>
      <c r="AB54" s="4"/>
      <c r="AC54" s="4"/>
    </row>
    <row r="55" spans="2:66" ht="12.75" customHeight="1" x14ac:dyDescent="0.2">
      <c r="B55" s="124" t="s">
        <v>73</v>
      </c>
      <c r="C55" s="125"/>
      <c r="D55" s="109" t="s">
        <v>373</v>
      </c>
      <c r="E55" s="110"/>
      <c r="F55" s="110"/>
      <c r="H55" s="4"/>
      <c r="I55" s="4"/>
      <c r="J55" s="4"/>
      <c r="K55" s="4"/>
      <c r="L55" s="4"/>
      <c r="M55" s="4"/>
      <c r="N55" s="4"/>
      <c r="O55" s="4"/>
      <c r="P55" s="4"/>
      <c r="Q55" s="4"/>
      <c r="R55" s="4"/>
      <c r="S55" s="4"/>
      <c r="T55" s="4"/>
      <c r="U55" s="4"/>
      <c r="V55" s="4"/>
      <c r="W55" s="4"/>
      <c r="X55" s="4"/>
      <c r="Y55" s="4"/>
      <c r="Z55" s="4"/>
      <c r="AA55" s="4"/>
      <c r="AB55" s="4"/>
      <c r="AC55" s="4"/>
    </row>
    <row r="56" spans="2:66" ht="12.75" customHeight="1" x14ac:dyDescent="0.2">
      <c r="B56" s="121"/>
      <c r="C56" s="122"/>
      <c r="D56" s="96"/>
      <c r="E56" s="97"/>
      <c r="F56" s="97"/>
      <c r="H56" s="4"/>
      <c r="I56" s="4"/>
      <c r="J56" s="4"/>
      <c r="K56" s="4"/>
      <c r="L56" s="4"/>
      <c r="M56" s="4"/>
      <c r="N56" s="4"/>
      <c r="O56" s="4"/>
      <c r="P56" s="4"/>
      <c r="Q56" s="4"/>
      <c r="R56" s="4"/>
      <c r="S56" s="4"/>
      <c r="T56" s="4"/>
      <c r="U56" s="4"/>
      <c r="V56" s="4"/>
      <c r="W56" s="4"/>
      <c r="X56" s="4"/>
      <c r="Y56" s="4"/>
      <c r="Z56" s="4"/>
      <c r="AA56" s="4"/>
      <c r="AB56" s="4"/>
      <c r="AC56" s="4"/>
    </row>
    <row r="57" spans="2:66" x14ac:dyDescent="0.2">
      <c r="B57" s="121"/>
      <c r="C57" s="122"/>
      <c r="D57" s="96"/>
      <c r="E57" s="97"/>
      <c r="F57" s="97"/>
      <c r="H57" s="4"/>
      <c r="I57" s="4"/>
      <c r="J57" s="4"/>
      <c r="K57" s="4"/>
      <c r="L57" s="4"/>
      <c r="M57" s="4"/>
      <c r="N57" s="4"/>
      <c r="O57" s="4"/>
      <c r="P57" s="4"/>
      <c r="Q57" s="4"/>
      <c r="R57" s="4"/>
      <c r="S57" s="4"/>
      <c r="T57" s="4"/>
      <c r="U57" s="4"/>
      <c r="V57" s="4"/>
      <c r="W57" s="4"/>
      <c r="X57" s="4"/>
      <c r="Y57" s="4"/>
      <c r="Z57" s="4"/>
      <c r="AA57" s="4"/>
      <c r="AB57" s="4"/>
      <c r="AC57" s="4"/>
    </row>
    <row r="58" spans="2:66" ht="13.5" thickBot="1" x14ac:dyDescent="0.25">
      <c r="B58" s="119" t="s">
        <v>74</v>
      </c>
      <c r="C58" s="123"/>
      <c r="D58" s="126"/>
      <c r="E58" s="127"/>
      <c r="F58" s="128"/>
      <c r="H58" s="4"/>
      <c r="I58" s="4"/>
      <c r="J58" s="4"/>
      <c r="K58" s="4"/>
      <c r="L58" s="4"/>
      <c r="M58" s="4"/>
      <c r="N58" s="4"/>
      <c r="O58" s="4"/>
      <c r="P58" s="4"/>
      <c r="Q58" s="4"/>
      <c r="R58" s="4"/>
      <c r="S58" s="4"/>
      <c r="T58" s="4"/>
      <c r="U58" s="4"/>
      <c r="V58" s="4"/>
      <c r="W58" s="4"/>
      <c r="X58" s="4"/>
      <c r="Y58" s="4"/>
      <c r="Z58" s="4"/>
      <c r="AA58" s="4"/>
      <c r="AB58" s="4"/>
      <c r="AC58" s="4"/>
    </row>
    <row r="59" spans="2:66" x14ac:dyDescent="0.2">
      <c r="B59" s="124" t="s">
        <v>500</v>
      </c>
      <c r="C59" s="125"/>
      <c r="D59" s="109" t="s">
        <v>363</v>
      </c>
      <c r="E59" s="110"/>
      <c r="F59" s="110"/>
      <c r="H59" s="4"/>
      <c r="I59" s="4"/>
      <c r="J59" s="4"/>
      <c r="K59" s="4"/>
      <c r="L59" s="4"/>
      <c r="M59" s="4"/>
      <c r="N59" s="4"/>
      <c r="O59" s="4"/>
      <c r="P59" s="4"/>
      <c r="Q59" s="4"/>
      <c r="R59" s="4"/>
      <c r="S59" s="4"/>
      <c r="T59" s="4"/>
      <c r="U59" s="4"/>
      <c r="V59" s="4"/>
      <c r="W59" s="4"/>
      <c r="X59" s="4"/>
      <c r="Y59" s="4"/>
      <c r="Z59" s="4"/>
      <c r="AA59" s="4"/>
      <c r="AB59" s="4"/>
      <c r="AC59" s="4"/>
    </row>
    <row r="60" spans="2:66" x14ac:dyDescent="0.2">
      <c r="B60" s="121" t="s">
        <v>75</v>
      </c>
      <c r="C60" s="122"/>
      <c r="D60" s="96" t="s">
        <v>361</v>
      </c>
      <c r="E60" s="97"/>
      <c r="F60" s="97"/>
      <c r="H60" s="4"/>
      <c r="I60" s="4"/>
      <c r="J60" s="4"/>
      <c r="K60" s="4"/>
      <c r="L60" s="4"/>
      <c r="M60" s="4"/>
      <c r="N60" s="4"/>
      <c r="O60" s="4"/>
      <c r="P60" s="4"/>
      <c r="Q60" s="4"/>
      <c r="R60" s="4"/>
      <c r="S60" s="4"/>
      <c r="T60" s="4"/>
      <c r="U60" s="4"/>
      <c r="V60" s="4"/>
      <c r="W60" s="4"/>
      <c r="X60" s="4"/>
      <c r="Y60" s="4"/>
      <c r="Z60" s="4"/>
      <c r="AA60" s="4"/>
      <c r="AB60" s="4"/>
      <c r="AC60" s="4"/>
    </row>
    <row r="61" spans="2:66" x14ac:dyDescent="0.2">
      <c r="B61" s="94"/>
      <c r="C61" s="95"/>
      <c r="D61" s="96"/>
      <c r="E61" s="97"/>
      <c r="F61" s="97"/>
      <c r="H61" s="4"/>
      <c r="I61" s="4"/>
      <c r="J61" s="4"/>
      <c r="K61" s="4"/>
      <c r="L61" s="4"/>
      <c r="M61" s="4"/>
      <c r="N61" s="4"/>
      <c r="O61" s="4"/>
      <c r="P61" s="4"/>
      <c r="Q61" s="4"/>
      <c r="R61" s="4"/>
      <c r="S61" s="4"/>
      <c r="T61" s="4"/>
      <c r="U61" s="4"/>
      <c r="V61" s="4"/>
      <c r="W61" s="4"/>
      <c r="X61" s="4"/>
      <c r="Y61" s="4"/>
      <c r="Z61" s="4"/>
      <c r="AA61" s="4"/>
      <c r="AB61" s="4"/>
      <c r="AC61" s="4"/>
    </row>
    <row r="62" spans="2:66" x14ac:dyDescent="0.2">
      <c r="B62" s="94"/>
      <c r="C62" s="95"/>
      <c r="D62" s="96"/>
      <c r="E62" s="97"/>
      <c r="F62" s="97"/>
      <c r="H62" s="4"/>
      <c r="I62" s="4"/>
      <c r="J62" s="4"/>
      <c r="K62" s="4"/>
      <c r="L62" s="4"/>
      <c r="M62" s="4"/>
      <c r="N62" s="4"/>
      <c r="O62" s="4"/>
      <c r="P62" s="4"/>
      <c r="Q62" s="4"/>
      <c r="R62" s="4"/>
      <c r="S62" s="4"/>
      <c r="T62" s="4"/>
      <c r="U62" s="4"/>
      <c r="V62" s="4"/>
      <c r="W62" s="4"/>
      <c r="X62" s="4"/>
      <c r="Y62" s="4"/>
      <c r="Z62" s="4"/>
      <c r="AA62" s="4"/>
      <c r="AB62" s="4"/>
      <c r="AC62" s="4"/>
    </row>
    <row r="63" spans="2:66" x14ac:dyDescent="0.2">
      <c r="B63" s="94"/>
      <c r="C63" s="95"/>
      <c r="D63" s="96"/>
      <c r="E63" s="97"/>
      <c r="F63" s="97"/>
      <c r="H63" s="4"/>
      <c r="I63" s="4"/>
      <c r="J63" s="4"/>
      <c r="K63" s="4"/>
      <c r="L63" s="4"/>
      <c r="M63" s="4"/>
      <c r="N63" s="4"/>
      <c r="O63" s="4"/>
      <c r="P63" s="4"/>
      <c r="Q63" s="4"/>
      <c r="R63" s="4"/>
      <c r="S63" s="4"/>
      <c r="T63" s="4"/>
      <c r="U63" s="4"/>
      <c r="V63" s="4"/>
      <c r="W63" s="4"/>
      <c r="X63" s="4"/>
      <c r="Y63" s="4"/>
      <c r="Z63" s="4"/>
      <c r="AA63" s="4"/>
      <c r="AB63" s="4"/>
      <c r="AC63" s="4"/>
    </row>
    <row r="64" spans="2:66" x14ac:dyDescent="0.2">
      <c r="B64" s="94"/>
      <c r="C64" s="95"/>
      <c r="D64" s="96"/>
      <c r="E64" s="97"/>
      <c r="F64" s="97"/>
      <c r="H64" s="4"/>
      <c r="I64" s="4"/>
      <c r="J64" s="4"/>
      <c r="K64" s="4"/>
      <c r="L64" s="4"/>
      <c r="M64" s="4"/>
      <c r="N64" s="4"/>
      <c r="O64" s="4"/>
      <c r="P64" s="4"/>
      <c r="Q64" s="4"/>
      <c r="R64" s="4"/>
      <c r="S64" s="4"/>
      <c r="T64" s="4"/>
      <c r="U64" s="4"/>
      <c r="V64" s="4"/>
      <c r="W64" s="4"/>
      <c r="X64" s="4"/>
      <c r="Y64" s="4"/>
      <c r="Z64" s="4"/>
      <c r="AA64" s="4"/>
      <c r="AB64" s="4"/>
      <c r="AC64" s="4"/>
    </row>
    <row r="65" spans="2:29" x14ac:dyDescent="0.2">
      <c r="B65" s="94"/>
      <c r="C65" s="95"/>
      <c r="D65" s="96"/>
      <c r="E65" s="97"/>
      <c r="F65" s="97"/>
      <c r="H65" s="4"/>
      <c r="I65" s="4"/>
      <c r="J65" s="4"/>
      <c r="K65" s="4"/>
      <c r="L65" s="4"/>
      <c r="M65" s="4"/>
      <c r="N65" s="4"/>
      <c r="O65" s="4"/>
      <c r="P65" s="4"/>
      <c r="Q65" s="4"/>
      <c r="R65" s="4"/>
      <c r="S65" s="4"/>
      <c r="T65" s="4"/>
      <c r="U65" s="4"/>
      <c r="V65" s="4"/>
      <c r="W65" s="4"/>
      <c r="X65" s="4"/>
      <c r="Y65" s="4"/>
      <c r="Z65" s="4"/>
      <c r="AA65" s="4"/>
      <c r="AB65" s="4"/>
      <c r="AC65" s="4"/>
    </row>
    <row r="66" spans="2:29" x14ac:dyDescent="0.2">
      <c r="B66" s="94"/>
      <c r="C66" s="95"/>
      <c r="D66" s="96"/>
      <c r="E66" s="97"/>
      <c r="F66" s="97"/>
      <c r="H66" s="4"/>
      <c r="I66" s="4"/>
      <c r="J66" s="4"/>
      <c r="K66" s="4"/>
      <c r="L66" s="4"/>
      <c r="M66" s="4"/>
      <c r="N66" s="4"/>
      <c r="O66" s="4"/>
      <c r="P66" s="4"/>
      <c r="Q66" s="4"/>
      <c r="R66" s="4"/>
      <c r="S66" s="4"/>
      <c r="T66" s="4"/>
      <c r="U66" s="4"/>
      <c r="V66" s="4"/>
      <c r="W66" s="4"/>
      <c r="X66" s="4"/>
      <c r="Y66" s="4"/>
      <c r="Z66" s="4"/>
      <c r="AA66" s="4"/>
      <c r="AB66" s="4"/>
      <c r="AC66" s="4"/>
    </row>
    <row r="67" spans="2:29" x14ac:dyDescent="0.2">
      <c r="B67" s="94"/>
      <c r="C67" s="95"/>
      <c r="D67" s="96"/>
      <c r="E67" s="97"/>
      <c r="F67" s="97"/>
      <c r="H67" s="4"/>
      <c r="I67" s="72"/>
      <c r="J67" s="72"/>
      <c r="K67" s="72"/>
      <c r="L67" s="72"/>
      <c r="M67" s="72"/>
      <c r="N67" s="72"/>
      <c r="O67" s="72"/>
      <c r="P67" s="72"/>
      <c r="Q67" s="72"/>
      <c r="R67" s="72"/>
      <c r="S67" s="72"/>
      <c r="T67" s="72"/>
      <c r="U67" s="72"/>
      <c r="V67" s="72"/>
      <c r="W67" s="72"/>
      <c r="X67" s="72"/>
      <c r="Y67" s="72"/>
      <c r="Z67" s="71"/>
      <c r="AA67" s="4"/>
      <c r="AB67" s="4"/>
      <c r="AC67" s="4"/>
    </row>
    <row r="68" spans="2:29" x14ac:dyDescent="0.2">
      <c r="B68" s="94"/>
      <c r="C68" s="95"/>
      <c r="D68" s="96"/>
      <c r="E68" s="97"/>
      <c r="F68" s="97"/>
      <c r="H68" s="4"/>
      <c r="I68" s="4"/>
      <c r="J68" s="4"/>
      <c r="K68" s="4"/>
      <c r="L68" s="4"/>
      <c r="M68" s="4"/>
      <c r="N68" s="4"/>
      <c r="O68" s="4"/>
      <c r="P68" s="4"/>
      <c r="Q68" s="4"/>
      <c r="R68" s="4"/>
      <c r="S68" s="4"/>
      <c r="T68" s="4"/>
      <c r="U68" s="4"/>
      <c r="V68" s="4"/>
      <c r="W68" s="4"/>
      <c r="X68" s="4"/>
      <c r="Y68" s="4"/>
      <c r="Z68" s="4"/>
      <c r="AA68" s="4"/>
      <c r="AB68" s="4"/>
      <c r="AC68" s="4"/>
    </row>
    <row r="69" spans="2:29" x14ac:dyDescent="0.2">
      <c r="B69" s="94"/>
      <c r="C69" s="95"/>
      <c r="D69" s="96"/>
      <c r="E69" s="97"/>
      <c r="F69" s="97"/>
      <c r="H69" s="4"/>
      <c r="I69" s="4"/>
      <c r="J69" s="4"/>
      <c r="K69" s="4"/>
      <c r="L69" s="4"/>
      <c r="M69" s="4"/>
      <c r="N69" s="4"/>
      <c r="O69" s="4"/>
      <c r="P69" s="4"/>
      <c r="Q69" s="4"/>
      <c r="R69" s="4"/>
      <c r="S69" s="4"/>
      <c r="T69" s="4"/>
      <c r="U69" s="4"/>
      <c r="V69" s="4"/>
      <c r="W69" s="4"/>
      <c r="X69" s="4"/>
      <c r="Y69" s="4"/>
      <c r="Z69" s="4"/>
      <c r="AA69" s="4"/>
      <c r="AB69" s="4"/>
      <c r="AC69" s="4"/>
    </row>
    <row r="70" spans="2:29" x14ac:dyDescent="0.2">
      <c r="B70" s="94"/>
      <c r="C70" s="95"/>
      <c r="D70" s="96"/>
      <c r="E70" s="97"/>
      <c r="F70" s="97"/>
      <c r="H70" s="4"/>
      <c r="I70" s="4"/>
      <c r="J70" s="4"/>
      <c r="K70" s="4"/>
      <c r="L70" s="4"/>
      <c r="M70" s="4"/>
      <c r="N70" s="4"/>
      <c r="O70" s="4"/>
      <c r="P70" s="4"/>
      <c r="Q70" s="4"/>
      <c r="R70" s="4"/>
      <c r="S70" s="4"/>
      <c r="T70" s="4"/>
      <c r="U70" s="4"/>
      <c r="V70" s="4"/>
      <c r="W70" s="4"/>
      <c r="X70" s="4"/>
      <c r="Y70" s="4"/>
      <c r="Z70" s="4"/>
      <c r="AA70" s="4"/>
      <c r="AB70" s="4"/>
      <c r="AC70" s="4"/>
    </row>
    <row r="71" spans="2:29" ht="13.5" thickBot="1" x14ac:dyDescent="0.25">
      <c r="B71" s="119" t="s">
        <v>135</v>
      </c>
      <c r="C71" s="123"/>
      <c r="D71" s="119"/>
      <c r="E71" s="120"/>
      <c r="F71" s="120"/>
      <c r="H71" s="4"/>
      <c r="I71" s="4"/>
      <c r="J71" s="4"/>
      <c r="K71" s="4"/>
      <c r="L71" s="4"/>
      <c r="M71" s="4"/>
      <c r="N71" s="4"/>
      <c r="O71" s="4"/>
      <c r="P71" s="4"/>
      <c r="Q71" s="4"/>
      <c r="R71" s="4"/>
      <c r="S71" s="4"/>
      <c r="T71" s="4"/>
      <c r="U71" s="4"/>
      <c r="V71" s="4"/>
      <c r="W71" s="4"/>
      <c r="X71" s="4"/>
      <c r="Y71" s="4"/>
      <c r="Z71" s="4"/>
      <c r="AA71" s="4"/>
      <c r="AB71" s="4"/>
      <c r="AC71" s="4"/>
    </row>
    <row r="72" spans="2:29" x14ac:dyDescent="0.2">
      <c r="B72" s="124" t="s">
        <v>136</v>
      </c>
      <c r="C72" s="125"/>
      <c r="D72" s="109" t="s">
        <v>275</v>
      </c>
      <c r="E72" s="110"/>
      <c r="F72" s="110"/>
      <c r="H72" s="4"/>
      <c r="I72" s="4"/>
      <c r="J72" s="4"/>
      <c r="K72" s="4"/>
      <c r="L72" s="4"/>
      <c r="M72" s="4"/>
      <c r="N72" s="4"/>
      <c r="O72" s="4"/>
      <c r="P72" s="4"/>
      <c r="Q72" s="4"/>
      <c r="R72" s="4"/>
      <c r="S72" s="4"/>
      <c r="T72" s="4"/>
      <c r="U72" s="4"/>
      <c r="V72" s="4"/>
      <c r="W72" s="4"/>
      <c r="X72" s="4"/>
      <c r="Y72" s="4"/>
      <c r="Z72" s="4"/>
      <c r="AA72" s="4"/>
      <c r="AB72" s="4"/>
      <c r="AC72" s="4"/>
    </row>
    <row r="73" spans="2:29" x14ac:dyDescent="0.2">
      <c r="B73" s="121" t="s">
        <v>137</v>
      </c>
      <c r="C73" s="122"/>
      <c r="D73" s="96" t="s">
        <v>285</v>
      </c>
      <c r="E73" s="97"/>
      <c r="F73" s="97"/>
      <c r="H73" s="4"/>
      <c r="I73" s="4"/>
      <c r="J73" s="4"/>
      <c r="K73" s="4"/>
      <c r="L73" s="4"/>
      <c r="M73" s="4"/>
      <c r="N73" s="4"/>
      <c r="O73" s="4"/>
      <c r="P73" s="4"/>
      <c r="Q73" s="4"/>
      <c r="R73" s="4"/>
      <c r="S73" s="4"/>
      <c r="T73" s="4"/>
      <c r="U73" s="4"/>
      <c r="V73" s="4"/>
      <c r="W73" s="4"/>
      <c r="X73" s="4"/>
      <c r="Y73" s="4"/>
      <c r="Z73" s="4"/>
      <c r="AA73" s="4"/>
      <c r="AB73" s="4"/>
      <c r="AC73" s="4"/>
    </row>
    <row r="74" spans="2:29" x14ac:dyDescent="0.2">
      <c r="B74" s="121" t="s">
        <v>138</v>
      </c>
      <c r="C74" s="122"/>
      <c r="D74" s="96" t="s">
        <v>279</v>
      </c>
      <c r="E74" s="97"/>
      <c r="F74" s="97"/>
      <c r="H74" s="4"/>
      <c r="I74" s="4"/>
      <c r="J74" s="4"/>
      <c r="K74" s="4"/>
      <c r="L74" s="4"/>
      <c r="M74" s="4"/>
      <c r="N74" s="4"/>
      <c r="O74" s="4"/>
      <c r="P74" s="4"/>
      <c r="Q74" s="4"/>
      <c r="R74" s="4"/>
      <c r="S74" s="4"/>
      <c r="T74" s="4"/>
      <c r="U74" s="4"/>
      <c r="V74" s="4"/>
      <c r="W74" s="4"/>
      <c r="X74" s="4"/>
      <c r="Y74" s="4"/>
      <c r="Z74" s="4"/>
      <c r="AA74" s="4"/>
      <c r="AB74" s="4"/>
      <c r="AC74" s="4"/>
    </row>
    <row r="75" spans="2:29" x14ac:dyDescent="0.2">
      <c r="B75" s="94"/>
      <c r="C75" s="95"/>
      <c r="D75" s="96"/>
      <c r="E75" s="97"/>
      <c r="F75" s="97"/>
      <c r="H75" s="4"/>
      <c r="I75" s="4"/>
      <c r="J75" s="4"/>
      <c r="K75" s="4"/>
      <c r="L75" s="4"/>
      <c r="M75" s="4"/>
      <c r="N75" s="4"/>
      <c r="O75" s="4"/>
      <c r="P75" s="4"/>
      <c r="Q75" s="4"/>
      <c r="R75" s="4"/>
      <c r="S75" s="4"/>
      <c r="T75" s="4"/>
      <c r="U75" s="4"/>
      <c r="V75" s="4"/>
      <c r="W75" s="4"/>
      <c r="X75" s="4"/>
      <c r="Y75" s="4"/>
      <c r="Z75" s="4"/>
      <c r="AA75" s="4"/>
      <c r="AB75" s="4"/>
      <c r="AC75" s="4"/>
    </row>
    <row r="76" spans="2:29" x14ac:dyDescent="0.2">
      <c r="B76" s="94"/>
      <c r="C76" s="95"/>
      <c r="D76" s="96"/>
      <c r="E76" s="97"/>
      <c r="F76" s="97"/>
      <c r="H76" s="4"/>
      <c r="I76" s="4"/>
      <c r="J76" s="4"/>
      <c r="K76" s="4"/>
      <c r="L76" s="4"/>
      <c r="M76" s="4"/>
      <c r="N76" s="4"/>
      <c r="O76" s="4"/>
      <c r="P76" s="4"/>
      <c r="Q76" s="4"/>
      <c r="R76" s="4"/>
      <c r="S76" s="4"/>
      <c r="T76" s="4"/>
      <c r="U76" s="4"/>
      <c r="V76" s="4"/>
      <c r="W76" s="4"/>
      <c r="X76" s="4"/>
      <c r="Y76" s="4"/>
      <c r="Z76" s="4"/>
      <c r="AA76" s="4"/>
      <c r="AB76" s="4"/>
      <c r="AC76" s="4"/>
    </row>
    <row r="77" spans="2:29" x14ac:dyDescent="0.2">
      <c r="B77" s="94"/>
      <c r="C77" s="95"/>
      <c r="D77" s="96"/>
      <c r="E77" s="97"/>
      <c r="F77" s="97"/>
      <c r="H77" s="4"/>
      <c r="I77" s="4"/>
      <c r="J77" s="4"/>
      <c r="K77" s="4"/>
      <c r="L77" s="4"/>
      <c r="M77" s="4"/>
      <c r="N77" s="4"/>
      <c r="O77" s="4"/>
      <c r="P77" s="4"/>
      <c r="Q77" s="4"/>
      <c r="R77" s="4"/>
      <c r="S77" s="4"/>
      <c r="T77" s="4"/>
      <c r="U77" s="4"/>
      <c r="V77" s="4"/>
      <c r="W77" s="4"/>
      <c r="X77" s="4"/>
      <c r="Y77" s="4"/>
      <c r="Z77" s="4"/>
      <c r="AA77" s="4"/>
      <c r="AB77" s="4"/>
      <c r="AC77" s="4"/>
    </row>
    <row r="78" spans="2:29" x14ac:dyDescent="0.2">
      <c r="B78" s="94"/>
      <c r="C78" s="95"/>
      <c r="D78" s="96"/>
      <c r="E78" s="97"/>
      <c r="F78" s="97"/>
      <c r="H78" s="4"/>
      <c r="I78" s="4"/>
      <c r="J78" s="4"/>
      <c r="K78" s="4"/>
      <c r="L78" s="4"/>
      <c r="M78" s="4"/>
      <c r="N78" s="4"/>
      <c r="O78" s="4"/>
      <c r="P78" s="4"/>
      <c r="Q78" s="4"/>
      <c r="R78" s="4"/>
      <c r="S78" s="4"/>
      <c r="T78" s="4"/>
      <c r="U78" s="4"/>
      <c r="V78" s="4"/>
      <c r="W78" s="4"/>
      <c r="X78" s="4"/>
      <c r="Y78" s="4"/>
      <c r="Z78" s="4"/>
      <c r="AA78" s="4"/>
      <c r="AB78" s="4"/>
      <c r="AC78" s="4"/>
    </row>
    <row r="79" spans="2:29" x14ac:dyDescent="0.2">
      <c r="B79" s="94"/>
      <c r="C79" s="95"/>
      <c r="D79" s="96"/>
      <c r="E79" s="97"/>
      <c r="F79" s="97"/>
      <c r="H79" s="4"/>
      <c r="I79" s="4"/>
      <c r="J79" s="4"/>
      <c r="K79" s="4"/>
      <c r="L79" s="4"/>
      <c r="M79" s="4"/>
      <c r="N79" s="4"/>
      <c r="O79" s="4"/>
      <c r="P79" s="4"/>
      <c r="Q79" s="4"/>
      <c r="R79" s="4"/>
      <c r="S79" s="4"/>
      <c r="T79" s="4"/>
      <c r="U79" s="4"/>
      <c r="V79" s="4"/>
      <c r="W79" s="4"/>
      <c r="X79" s="4"/>
      <c r="Y79" s="4"/>
      <c r="Z79" s="4"/>
      <c r="AA79" s="4"/>
      <c r="AB79" s="4"/>
      <c r="AC79" s="4"/>
    </row>
    <row r="80" spans="2:29" x14ac:dyDescent="0.2">
      <c r="B80" s="94"/>
      <c r="C80" s="95"/>
      <c r="D80" s="96"/>
      <c r="E80" s="97"/>
      <c r="F80" s="97"/>
      <c r="H80" s="4"/>
      <c r="I80" s="4"/>
      <c r="J80" s="4"/>
      <c r="K80" s="4"/>
      <c r="L80" s="4"/>
      <c r="M80" s="4"/>
      <c r="N80" s="4"/>
      <c r="O80" s="4"/>
      <c r="P80" s="4"/>
      <c r="Q80" s="4"/>
      <c r="R80" s="4"/>
      <c r="S80" s="4"/>
      <c r="T80" s="4"/>
      <c r="U80" s="4"/>
      <c r="V80" s="4"/>
      <c r="W80" s="4"/>
      <c r="X80" s="4"/>
      <c r="Y80" s="4"/>
      <c r="Z80" s="4"/>
      <c r="AA80" s="4"/>
      <c r="AB80" s="4"/>
      <c r="AC80" s="4"/>
    </row>
    <row r="81" spans="2:29" x14ac:dyDescent="0.2">
      <c r="B81" s="94"/>
      <c r="C81" s="95"/>
      <c r="D81" s="96"/>
      <c r="E81" s="97"/>
      <c r="F81" s="97"/>
      <c r="H81" s="4"/>
      <c r="I81" s="4"/>
      <c r="J81" s="4"/>
      <c r="K81" s="4"/>
      <c r="L81" s="4"/>
      <c r="M81" s="4"/>
      <c r="N81" s="4"/>
      <c r="O81" s="4"/>
      <c r="P81" s="4"/>
      <c r="Q81" s="4"/>
      <c r="R81" s="4"/>
      <c r="S81" s="4"/>
      <c r="T81" s="4"/>
      <c r="U81" s="4"/>
      <c r="V81" s="4"/>
      <c r="W81" s="4"/>
      <c r="X81" s="4"/>
      <c r="Y81" s="4"/>
      <c r="Z81" s="4"/>
      <c r="AA81" s="4"/>
      <c r="AB81" s="4"/>
      <c r="AC81" s="4"/>
    </row>
    <row r="82" spans="2:29" x14ac:dyDescent="0.2">
      <c r="B82" s="94"/>
      <c r="C82" s="95"/>
      <c r="D82" s="96"/>
      <c r="E82" s="97"/>
      <c r="F82" s="97"/>
      <c r="H82" s="4"/>
      <c r="I82" s="4"/>
      <c r="J82" s="4"/>
      <c r="K82" s="4"/>
      <c r="L82" s="4"/>
      <c r="M82" s="4"/>
      <c r="N82" s="4"/>
      <c r="O82" s="4"/>
      <c r="P82" s="4"/>
      <c r="Q82" s="4"/>
      <c r="R82" s="4"/>
      <c r="S82" s="4"/>
      <c r="T82" s="4"/>
      <c r="U82" s="4"/>
      <c r="V82" s="4"/>
      <c r="W82" s="4"/>
      <c r="X82" s="4"/>
      <c r="Y82" s="4"/>
      <c r="Z82" s="4"/>
      <c r="AA82" s="4"/>
      <c r="AB82" s="4"/>
      <c r="AC82" s="4"/>
    </row>
    <row r="83" spans="2:29" x14ac:dyDescent="0.2">
      <c r="B83" s="94"/>
      <c r="C83" s="95"/>
      <c r="D83" s="96"/>
      <c r="E83" s="97"/>
      <c r="F83" s="97"/>
      <c r="H83" s="4"/>
      <c r="I83" s="4"/>
      <c r="J83" s="4"/>
      <c r="K83" s="4"/>
      <c r="L83" s="4"/>
      <c r="M83" s="4"/>
      <c r="N83" s="4"/>
      <c r="O83" s="4"/>
      <c r="P83" s="4"/>
      <c r="Q83" s="4"/>
      <c r="R83" s="4"/>
      <c r="S83" s="4"/>
      <c r="T83" s="4"/>
      <c r="U83" s="4"/>
      <c r="V83" s="4"/>
      <c r="W83" s="4"/>
      <c r="X83" s="4"/>
      <c r="Y83" s="4"/>
      <c r="Z83" s="4"/>
      <c r="AA83" s="4"/>
      <c r="AB83" s="4"/>
      <c r="AC83" s="4"/>
    </row>
    <row r="84" spans="2:29" x14ac:dyDescent="0.2">
      <c r="B84" s="94"/>
      <c r="C84" s="95"/>
      <c r="D84" s="96"/>
      <c r="E84" s="97"/>
      <c r="F84" s="97"/>
      <c r="H84" s="4"/>
      <c r="I84" s="4"/>
      <c r="J84" s="4"/>
      <c r="K84" s="4"/>
      <c r="L84" s="4"/>
      <c r="M84" s="4"/>
      <c r="N84" s="4"/>
      <c r="O84" s="4"/>
      <c r="P84" s="4"/>
      <c r="Q84" s="4"/>
      <c r="R84" s="4"/>
      <c r="S84" s="4"/>
      <c r="T84" s="4"/>
      <c r="U84" s="4"/>
      <c r="V84" s="4"/>
      <c r="W84" s="4"/>
      <c r="X84" s="4"/>
      <c r="Y84" s="4"/>
      <c r="Z84" s="4"/>
      <c r="AA84" s="4"/>
      <c r="AB84" s="4"/>
      <c r="AC84" s="4"/>
    </row>
    <row r="85" spans="2:29" x14ac:dyDescent="0.2">
      <c r="B85" s="94"/>
      <c r="C85" s="95"/>
      <c r="D85" s="96"/>
      <c r="E85" s="97"/>
      <c r="F85" s="97"/>
      <c r="H85" s="4"/>
      <c r="I85" s="4"/>
      <c r="J85" s="4"/>
      <c r="K85" s="4"/>
      <c r="L85" s="4"/>
      <c r="M85" s="4"/>
      <c r="N85" s="4"/>
      <c r="O85" s="4"/>
      <c r="P85" s="4"/>
      <c r="Q85" s="4"/>
      <c r="R85" s="4"/>
      <c r="S85" s="4"/>
      <c r="T85" s="4"/>
      <c r="U85" s="4"/>
      <c r="V85" s="4"/>
      <c r="W85" s="4"/>
      <c r="X85" s="4"/>
      <c r="Y85" s="4"/>
      <c r="Z85" s="4"/>
      <c r="AA85" s="4"/>
      <c r="AB85" s="4"/>
      <c r="AC85" s="4"/>
    </row>
    <row r="86" spans="2:29" x14ac:dyDescent="0.2">
      <c r="B86" s="94"/>
      <c r="C86" s="95"/>
      <c r="D86" s="96"/>
      <c r="E86" s="97"/>
      <c r="F86" s="97"/>
      <c r="H86" s="4"/>
      <c r="I86" s="4"/>
      <c r="J86" s="4"/>
      <c r="K86" s="4"/>
      <c r="L86" s="4"/>
      <c r="M86" s="4"/>
      <c r="N86" s="4"/>
      <c r="O86" s="4"/>
      <c r="P86" s="4"/>
      <c r="Q86" s="4"/>
      <c r="R86" s="4"/>
      <c r="S86" s="4"/>
      <c r="T86" s="4"/>
      <c r="U86" s="4"/>
      <c r="V86" s="4"/>
      <c r="W86" s="4"/>
      <c r="X86" s="4"/>
      <c r="Y86" s="4"/>
      <c r="Z86" s="4"/>
      <c r="AA86" s="4"/>
      <c r="AB86" s="4"/>
      <c r="AC86" s="4"/>
    </row>
    <row r="87" spans="2:29" x14ac:dyDescent="0.2">
      <c r="B87" s="4"/>
      <c r="C87" s="4"/>
      <c r="D87" s="4"/>
      <c r="H87" s="4"/>
      <c r="I87" s="4"/>
      <c r="J87" s="4"/>
      <c r="K87" s="4"/>
      <c r="L87" s="4"/>
      <c r="M87" s="4"/>
      <c r="N87" s="4"/>
      <c r="O87" s="4"/>
      <c r="P87" s="4"/>
      <c r="Q87" s="4"/>
      <c r="R87" s="4"/>
      <c r="S87" s="4"/>
      <c r="T87" s="4"/>
      <c r="U87" s="4"/>
      <c r="V87" s="4"/>
      <c r="W87" s="4"/>
      <c r="X87" s="4"/>
      <c r="Y87" s="4"/>
      <c r="Z87" s="4"/>
      <c r="AA87" s="4"/>
      <c r="AB87" s="4"/>
      <c r="AC87" s="4"/>
    </row>
    <row r="88" spans="2:29" hidden="1" x14ac:dyDescent="0.2">
      <c r="B88" s="4"/>
      <c r="C88" s="4"/>
      <c r="D88" s="4"/>
      <c r="H88" s="4"/>
      <c r="I88" s="4"/>
      <c r="J88" s="4"/>
      <c r="K88" s="4"/>
      <c r="L88" s="4"/>
      <c r="M88" s="4"/>
      <c r="N88" s="4"/>
      <c r="O88" s="4"/>
      <c r="P88" s="4"/>
      <c r="Q88" s="4"/>
      <c r="R88" s="4"/>
      <c r="S88" s="4"/>
      <c r="T88" s="4"/>
      <c r="U88" s="4"/>
      <c r="V88" s="4"/>
      <c r="W88" s="4"/>
      <c r="X88" s="4"/>
      <c r="Y88" s="4"/>
      <c r="Z88" s="4"/>
      <c r="AA88" s="4"/>
      <c r="AB88" s="4"/>
      <c r="AC88" s="4"/>
    </row>
    <row r="89" spans="2:29" hidden="1" x14ac:dyDescent="0.2">
      <c r="B89" s="4"/>
      <c r="C89" s="4"/>
      <c r="D89" s="4"/>
      <c r="H89" s="4"/>
      <c r="I89" s="4"/>
      <c r="J89" s="4"/>
      <c r="K89" s="4"/>
      <c r="L89" s="4"/>
      <c r="M89" s="4"/>
      <c r="N89" s="4"/>
      <c r="O89" s="4"/>
      <c r="P89" s="4"/>
      <c r="Q89" s="4"/>
      <c r="R89" s="4"/>
      <c r="S89" s="4"/>
      <c r="T89" s="4"/>
      <c r="U89" s="4"/>
      <c r="V89" s="4"/>
      <c r="W89" s="4"/>
      <c r="X89" s="4"/>
      <c r="Y89" s="4"/>
      <c r="Z89" s="4"/>
      <c r="AA89" s="4"/>
      <c r="AB89" s="4"/>
      <c r="AC89" s="4"/>
    </row>
    <row r="90" spans="2:29" hidden="1" x14ac:dyDescent="0.2">
      <c r="B90" s="4"/>
      <c r="C90" s="4"/>
      <c r="D90" s="4"/>
      <c r="H90" s="4"/>
      <c r="I90" s="4"/>
      <c r="J90" s="4"/>
      <c r="K90" s="4"/>
      <c r="L90" s="4"/>
      <c r="M90" s="4"/>
      <c r="N90" s="4"/>
      <c r="O90" s="4"/>
      <c r="P90" s="4"/>
      <c r="Q90" s="4"/>
      <c r="R90" s="4"/>
      <c r="S90" s="4"/>
      <c r="T90" s="4"/>
      <c r="U90" s="4"/>
      <c r="V90" s="4"/>
      <c r="W90" s="4"/>
      <c r="X90" s="4"/>
      <c r="Y90" s="4"/>
      <c r="Z90" s="4"/>
      <c r="AA90" s="4"/>
      <c r="AB90" s="4"/>
      <c r="AC90" s="4"/>
    </row>
    <row r="91" spans="2:29" hidden="1" x14ac:dyDescent="0.2">
      <c r="B91" s="4"/>
      <c r="C91" s="4"/>
      <c r="D91" s="4"/>
      <c r="H91" s="4"/>
      <c r="I91" s="4"/>
      <c r="J91" s="4"/>
      <c r="K91" s="4"/>
      <c r="L91" s="4"/>
      <c r="M91" s="4"/>
      <c r="N91" s="4"/>
      <c r="O91" s="4"/>
      <c r="P91" s="4"/>
      <c r="Q91" s="4"/>
      <c r="R91" s="4"/>
      <c r="S91" s="4"/>
      <c r="T91" s="4"/>
      <c r="U91" s="4"/>
      <c r="V91" s="4"/>
      <c r="W91" s="4"/>
      <c r="X91" s="4"/>
      <c r="Y91" s="4"/>
      <c r="Z91" s="4"/>
      <c r="AA91" s="4"/>
      <c r="AB91" s="4"/>
      <c r="AC91" s="4"/>
    </row>
    <row r="92" spans="2:29" hidden="1" x14ac:dyDescent="0.2">
      <c r="B92" s="4"/>
      <c r="C92" s="4"/>
      <c r="D92" s="4"/>
      <c r="H92" s="4"/>
      <c r="I92" s="4"/>
      <c r="J92" s="4"/>
      <c r="K92" s="4"/>
      <c r="L92" s="4"/>
      <c r="M92" s="4"/>
      <c r="N92" s="4"/>
      <c r="O92" s="4"/>
      <c r="P92" s="4"/>
      <c r="Q92" s="4"/>
      <c r="R92" s="4"/>
      <c r="S92" s="4"/>
      <c r="T92" s="4"/>
      <c r="U92" s="4"/>
      <c r="V92" s="4"/>
      <c r="W92" s="4"/>
      <c r="X92" s="4"/>
      <c r="Y92" s="4"/>
      <c r="Z92" s="4"/>
      <c r="AA92" s="4"/>
      <c r="AB92" s="4"/>
      <c r="AC92" s="4"/>
    </row>
    <row r="93" spans="2:29" hidden="1" x14ac:dyDescent="0.2">
      <c r="B93" s="4"/>
      <c r="C93" s="4"/>
      <c r="D93" s="4"/>
      <c r="H93" s="4"/>
      <c r="I93" s="4"/>
      <c r="J93" s="4"/>
      <c r="K93" s="4"/>
      <c r="L93" s="4"/>
      <c r="M93" s="4"/>
      <c r="N93" s="4"/>
      <c r="O93" s="4"/>
      <c r="P93" s="4"/>
      <c r="Q93" s="4"/>
      <c r="R93" s="4"/>
      <c r="S93" s="4"/>
      <c r="T93" s="4"/>
      <c r="U93" s="4"/>
      <c r="V93" s="4"/>
      <c r="W93" s="4"/>
      <c r="X93" s="4"/>
      <c r="Y93" s="4"/>
      <c r="Z93" s="4"/>
      <c r="AA93" s="4"/>
      <c r="AB93" s="4"/>
      <c r="AC93" s="4"/>
    </row>
    <row r="94" spans="2:29" hidden="1" x14ac:dyDescent="0.2">
      <c r="B94" s="4"/>
      <c r="C94" s="4"/>
      <c r="D94" s="4"/>
      <c r="H94" s="4"/>
      <c r="I94" s="4"/>
      <c r="J94" s="4"/>
      <c r="K94" s="4"/>
      <c r="L94" s="4"/>
      <c r="M94" s="4"/>
      <c r="N94" s="4"/>
      <c r="O94" s="4"/>
      <c r="P94" s="4"/>
      <c r="Q94" s="4"/>
      <c r="R94" s="4"/>
      <c r="S94" s="4"/>
      <c r="T94" s="4"/>
      <c r="U94" s="4"/>
      <c r="V94" s="4"/>
      <c r="W94" s="4"/>
      <c r="X94" s="4"/>
      <c r="Y94" s="4"/>
      <c r="Z94" s="4"/>
      <c r="AA94" s="4"/>
      <c r="AB94" s="4"/>
      <c r="AC94" s="4"/>
    </row>
    <row r="95" spans="2:29" hidden="1" x14ac:dyDescent="0.2">
      <c r="B95" s="4"/>
      <c r="C95" s="4"/>
      <c r="D95" s="4"/>
      <c r="H95" s="4"/>
      <c r="I95" s="4"/>
      <c r="J95" s="4"/>
      <c r="K95" s="4"/>
      <c r="L95" s="4"/>
      <c r="M95" s="4"/>
      <c r="N95" s="4"/>
      <c r="O95" s="4"/>
      <c r="P95" s="4"/>
      <c r="Q95" s="4"/>
      <c r="R95" s="4"/>
      <c r="S95" s="4"/>
      <c r="T95" s="4"/>
      <c r="U95" s="4"/>
      <c r="V95" s="4"/>
      <c r="W95" s="4"/>
      <c r="X95" s="4"/>
      <c r="Y95" s="4"/>
      <c r="Z95" s="4"/>
      <c r="AA95" s="4"/>
      <c r="AB95" s="4"/>
      <c r="AC95" s="4"/>
    </row>
    <row r="96" spans="2:29" hidden="1" x14ac:dyDescent="0.2">
      <c r="B96" s="4"/>
      <c r="C96" s="4"/>
      <c r="D96" s="4"/>
      <c r="H96" s="4"/>
      <c r="I96" s="4"/>
      <c r="J96" s="4"/>
      <c r="K96" s="4"/>
      <c r="L96" s="4"/>
      <c r="M96" s="4"/>
      <c r="N96" s="4"/>
      <c r="O96" s="4"/>
      <c r="P96" s="4"/>
      <c r="Q96" s="4"/>
      <c r="R96" s="4"/>
      <c r="S96" s="4"/>
      <c r="T96" s="4"/>
      <c r="U96" s="4"/>
      <c r="V96" s="4"/>
      <c r="W96" s="4"/>
      <c r="X96" s="4"/>
      <c r="Y96" s="4"/>
      <c r="Z96" s="4"/>
      <c r="AA96" s="4"/>
      <c r="AB96" s="4"/>
      <c r="AC96" s="4"/>
    </row>
    <row r="97" spans="2:29" hidden="1" x14ac:dyDescent="0.2">
      <c r="B97" s="4"/>
      <c r="C97" s="4"/>
      <c r="D97" s="4"/>
      <c r="H97" s="4"/>
      <c r="I97" s="4"/>
      <c r="J97" s="4"/>
      <c r="K97" s="4"/>
      <c r="L97" s="4"/>
      <c r="M97" s="4"/>
      <c r="N97" s="4"/>
      <c r="O97" s="4"/>
      <c r="P97" s="4"/>
      <c r="Q97" s="4"/>
      <c r="R97" s="4"/>
      <c r="S97" s="4"/>
      <c r="T97" s="4"/>
      <c r="U97" s="4"/>
      <c r="V97" s="4"/>
      <c r="W97" s="4"/>
      <c r="X97" s="4"/>
      <c r="Y97" s="4"/>
      <c r="Z97" s="4"/>
      <c r="AA97" s="4"/>
      <c r="AB97" s="4"/>
      <c r="AC97" s="4"/>
    </row>
    <row r="98" spans="2:29" hidden="1" x14ac:dyDescent="0.2">
      <c r="B98" s="4"/>
      <c r="C98" s="4"/>
      <c r="D98" s="4"/>
      <c r="H98" s="4"/>
      <c r="I98" s="4"/>
      <c r="J98" s="4"/>
      <c r="K98" s="4"/>
      <c r="L98" s="4"/>
      <c r="M98" s="4"/>
      <c r="N98" s="4"/>
      <c r="O98" s="4"/>
      <c r="P98" s="4"/>
      <c r="Q98" s="4"/>
      <c r="R98" s="4"/>
      <c r="S98" s="4"/>
      <c r="T98" s="4"/>
      <c r="U98" s="4"/>
      <c r="V98" s="4"/>
      <c r="W98" s="4"/>
      <c r="X98" s="4"/>
      <c r="Y98" s="4"/>
      <c r="Z98" s="4"/>
      <c r="AA98" s="4"/>
      <c r="AB98" s="4"/>
      <c r="AC98" s="4"/>
    </row>
    <row r="99" spans="2:29" hidden="1" x14ac:dyDescent="0.2">
      <c r="B99" s="4"/>
      <c r="C99" s="4"/>
      <c r="D99" s="4"/>
      <c r="H99" s="4"/>
      <c r="I99" s="4"/>
      <c r="J99" s="4"/>
      <c r="K99" s="4"/>
      <c r="L99" s="4"/>
      <c r="M99" s="4"/>
      <c r="N99" s="4"/>
      <c r="O99" s="4"/>
      <c r="P99" s="4"/>
      <c r="Q99" s="4"/>
      <c r="R99" s="4"/>
      <c r="S99" s="4"/>
      <c r="T99" s="4"/>
      <c r="U99" s="4"/>
      <c r="V99" s="4"/>
      <c r="W99" s="4"/>
      <c r="X99" s="4"/>
      <c r="Y99" s="4"/>
      <c r="Z99" s="4"/>
      <c r="AA99" s="4"/>
      <c r="AB99" s="4"/>
      <c r="AC99" s="4"/>
    </row>
    <row r="100" spans="2:29" hidden="1" x14ac:dyDescent="0.2">
      <c r="B100" s="4"/>
      <c r="C100" s="4"/>
      <c r="D100" s="4"/>
      <c r="H100" s="4"/>
      <c r="I100" s="4"/>
      <c r="J100" s="4"/>
      <c r="K100" s="4"/>
      <c r="L100" s="4"/>
      <c r="M100" s="4"/>
      <c r="N100" s="4"/>
      <c r="O100" s="4"/>
      <c r="P100" s="4"/>
      <c r="Q100" s="4"/>
      <c r="R100" s="4"/>
      <c r="S100" s="4"/>
      <c r="T100" s="4"/>
      <c r="U100" s="4"/>
      <c r="V100" s="4"/>
      <c r="W100" s="4"/>
      <c r="X100" s="4"/>
      <c r="Y100" s="4"/>
      <c r="Z100" s="4"/>
      <c r="AA100" s="4"/>
      <c r="AB100" s="4"/>
      <c r="AC100" s="4"/>
    </row>
    <row r="101" spans="2:29" hidden="1" x14ac:dyDescent="0.2">
      <c r="B101" s="4"/>
      <c r="C101" s="4"/>
      <c r="D101" s="4"/>
      <c r="H101" s="4"/>
      <c r="I101" s="4"/>
      <c r="J101" s="4"/>
      <c r="K101" s="4"/>
      <c r="L101" s="4"/>
      <c r="M101" s="4"/>
      <c r="N101" s="4"/>
      <c r="O101" s="4"/>
      <c r="P101" s="4"/>
      <c r="Q101" s="4"/>
      <c r="R101" s="4"/>
      <c r="S101" s="4"/>
      <c r="T101" s="4"/>
      <c r="U101" s="4"/>
      <c r="V101" s="4"/>
      <c r="W101" s="4"/>
      <c r="X101" s="4"/>
      <c r="Y101" s="4"/>
      <c r="Z101" s="4"/>
      <c r="AA101" s="4"/>
      <c r="AB101" s="4"/>
      <c r="AC101" s="4"/>
    </row>
    <row r="102" spans="2:29" hidden="1" x14ac:dyDescent="0.2">
      <c r="B102" s="4"/>
      <c r="C102" s="4"/>
      <c r="D102" s="4"/>
      <c r="H102" s="4"/>
      <c r="I102" s="4"/>
      <c r="J102" s="4"/>
      <c r="K102" s="4"/>
      <c r="L102" s="4"/>
      <c r="M102" s="4"/>
      <c r="N102" s="4"/>
      <c r="O102" s="4"/>
      <c r="P102" s="4"/>
      <c r="Q102" s="4"/>
      <c r="R102" s="4"/>
      <c r="S102" s="4"/>
      <c r="T102" s="4"/>
      <c r="U102" s="4"/>
      <c r="V102" s="4"/>
      <c r="W102" s="4"/>
      <c r="X102" s="4"/>
      <c r="Y102" s="4"/>
      <c r="Z102" s="4"/>
      <c r="AA102" s="4"/>
      <c r="AB102" s="4"/>
      <c r="AC102" s="4"/>
    </row>
    <row r="103" spans="2:29" hidden="1" x14ac:dyDescent="0.2">
      <c r="B103" s="4"/>
      <c r="C103" s="4"/>
      <c r="D103" s="4"/>
      <c r="H103" s="4"/>
      <c r="I103" s="4"/>
      <c r="J103" s="4"/>
      <c r="K103" s="4"/>
      <c r="L103" s="4"/>
      <c r="M103" s="4"/>
      <c r="N103" s="4"/>
      <c r="O103" s="4"/>
      <c r="P103" s="4"/>
      <c r="Q103" s="4"/>
      <c r="R103" s="4"/>
      <c r="S103" s="4"/>
      <c r="T103" s="4"/>
      <c r="U103" s="4"/>
      <c r="V103" s="4"/>
      <c r="W103" s="4"/>
      <c r="X103" s="4"/>
      <c r="Y103" s="4"/>
      <c r="Z103" s="4"/>
      <c r="AA103" s="4"/>
      <c r="AB103" s="4"/>
      <c r="AC103" s="4"/>
    </row>
    <row r="104" spans="2:29" hidden="1" x14ac:dyDescent="0.2">
      <c r="B104" s="4"/>
      <c r="C104" s="4"/>
      <c r="D104" s="4"/>
      <c r="H104" s="4"/>
      <c r="I104" s="4"/>
      <c r="J104" s="4"/>
      <c r="K104" s="4"/>
      <c r="L104" s="4"/>
      <c r="M104" s="4"/>
      <c r="N104" s="4"/>
      <c r="O104" s="4"/>
      <c r="P104" s="4"/>
      <c r="Q104" s="4"/>
      <c r="R104" s="4"/>
      <c r="S104" s="4"/>
      <c r="T104" s="4"/>
      <c r="U104" s="4"/>
      <c r="V104" s="4"/>
      <c r="W104" s="4"/>
      <c r="X104" s="4"/>
      <c r="Y104" s="4"/>
      <c r="Z104" s="4"/>
      <c r="AA104" s="4"/>
      <c r="AB104" s="4"/>
      <c r="AC104" s="4"/>
    </row>
    <row r="105" spans="2:29" hidden="1" x14ac:dyDescent="0.2">
      <c r="B105" s="4"/>
      <c r="C105" s="4"/>
      <c r="D105" s="4"/>
      <c r="H105" s="4"/>
      <c r="I105" s="4"/>
      <c r="J105" s="4"/>
      <c r="K105" s="4"/>
      <c r="L105" s="4"/>
      <c r="M105" s="4"/>
      <c r="N105" s="4"/>
      <c r="O105" s="4"/>
      <c r="P105" s="4"/>
      <c r="Q105" s="4"/>
      <c r="R105" s="4"/>
      <c r="S105" s="4"/>
      <c r="T105" s="4"/>
      <c r="U105" s="4"/>
      <c r="V105" s="4"/>
      <c r="W105" s="4"/>
      <c r="X105" s="4"/>
      <c r="Y105" s="4"/>
      <c r="Z105" s="4"/>
      <c r="AA105" s="4"/>
      <c r="AB105" s="4"/>
      <c r="AC105" s="4"/>
    </row>
    <row r="106" spans="2:29" hidden="1" x14ac:dyDescent="0.2">
      <c r="B106" s="4"/>
      <c r="C106" s="4"/>
      <c r="D106" s="4"/>
      <c r="H106" s="4"/>
      <c r="I106" s="4"/>
      <c r="J106" s="4"/>
      <c r="K106" s="4"/>
      <c r="L106" s="4"/>
      <c r="M106" s="4"/>
      <c r="N106" s="4"/>
      <c r="O106" s="4"/>
      <c r="P106" s="4"/>
      <c r="Q106" s="4"/>
      <c r="R106" s="4"/>
      <c r="S106" s="4"/>
      <c r="T106" s="4"/>
      <c r="U106" s="4"/>
      <c r="V106" s="4"/>
      <c r="W106" s="4"/>
      <c r="X106" s="4"/>
      <c r="Y106" s="4"/>
      <c r="Z106" s="4"/>
      <c r="AA106" s="4"/>
      <c r="AB106" s="4"/>
      <c r="AC106" s="4"/>
    </row>
    <row r="107" spans="2:29" hidden="1" x14ac:dyDescent="0.2">
      <c r="H107" s="4"/>
      <c r="I107" s="4"/>
      <c r="J107" s="4"/>
      <c r="K107" s="4"/>
      <c r="L107" s="4"/>
      <c r="M107" s="4"/>
      <c r="N107" s="4"/>
      <c r="O107" s="4"/>
      <c r="P107" s="4"/>
      <c r="Q107" s="4"/>
      <c r="R107" s="4"/>
      <c r="S107" s="4"/>
      <c r="T107" s="4"/>
      <c r="U107" s="4"/>
      <c r="V107" s="4"/>
      <c r="W107" s="4"/>
      <c r="X107" s="4"/>
      <c r="Y107" s="4"/>
      <c r="Z107" s="4"/>
      <c r="AA107" s="4"/>
      <c r="AB107" s="4"/>
      <c r="AC107" s="4"/>
    </row>
    <row r="108" spans="2:29" hidden="1" x14ac:dyDescent="0.2">
      <c r="H108" s="4"/>
      <c r="I108" s="4"/>
      <c r="J108" s="4"/>
      <c r="K108" s="4"/>
      <c r="L108" s="4"/>
      <c r="M108" s="4"/>
      <c r="N108" s="4"/>
      <c r="O108" s="4"/>
      <c r="P108" s="4"/>
      <c r="Q108" s="4"/>
      <c r="R108" s="4"/>
      <c r="S108" s="4"/>
      <c r="T108" s="4"/>
      <c r="U108" s="4"/>
      <c r="V108" s="4"/>
      <c r="W108" s="4"/>
      <c r="X108" s="4"/>
      <c r="Y108" s="4"/>
      <c r="Z108" s="4"/>
      <c r="AA108" s="4"/>
      <c r="AB108" s="4"/>
      <c r="AC108" s="4"/>
    </row>
    <row r="109" spans="2:29" hidden="1" x14ac:dyDescent="0.2">
      <c r="H109" s="4"/>
      <c r="I109" s="4"/>
      <c r="J109" s="4"/>
      <c r="K109" s="4"/>
      <c r="L109" s="4"/>
      <c r="M109" s="4"/>
      <c r="N109" s="4"/>
      <c r="O109" s="4"/>
      <c r="P109" s="4"/>
      <c r="Q109" s="4"/>
      <c r="R109" s="4"/>
      <c r="S109" s="4"/>
      <c r="T109" s="4"/>
      <c r="U109" s="4"/>
      <c r="V109" s="4"/>
      <c r="W109" s="4"/>
      <c r="X109" s="4"/>
      <c r="Y109" s="4"/>
      <c r="Z109" s="4"/>
      <c r="AA109" s="4"/>
      <c r="AB109" s="4"/>
      <c r="AC109" s="4"/>
    </row>
    <row r="110" spans="2:29" hidden="1" x14ac:dyDescent="0.2">
      <c r="H110" s="4"/>
      <c r="I110" s="4"/>
      <c r="J110" s="4"/>
      <c r="K110" s="4"/>
      <c r="L110" s="4"/>
      <c r="M110" s="4"/>
      <c r="N110" s="4"/>
      <c r="O110" s="4"/>
      <c r="P110" s="4"/>
      <c r="Q110" s="4"/>
      <c r="R110" s="4"/>
      <c r="S110" s="4"/>
      <c r="T110" s="4"/>
      <c r="U110" s="4"/>
      <c r="V110" s="4"/>
      <c r="W110" s="4"/>
      <c r="X110" s="4"/>
      <c r="Y110" s="4"/>
      <c r="Z110" s="4"/>
      <c r="AA110" s="4"/>
      <c r="AB110" s="4"/>
      <c r="AC110" s="4"/>
    </row>
    <row r="111" spans="2:29" hidden="1" x14ac:dyDescent="0.2">
      <c r="H111" s="4"/>
      <c r="I111" s="4"/>
      <c r="J111" s="4"/>
      <c r="K111" s="4"/>
      <c r="L111" s="4"/>
      <c r="M111" s="4"/>
      <c r="N111" s="4"/>
      <c r="O111" s="4"/>
      <c r="P111" s="4"/>
      <c r="Q111" s="4"/>
      <c r="R111" s="4"/>
      <c r="S111" s="4"/>
      <c r="T111" s="4"/>
      <c r="U111" s="4"/>
      <c r="V111" s="4"/>
      <c r="W111" s="4"/>
      <c r="X111" s="4"/>
      <c r="Y111" s="4"/>
      <c r="Z111" s="4"/>
      <c r="AA111" s="4"/>
      <c r="AB111" s="4"/>
      <c r="AC111" s="4"/>
    </row>
    <row r="112" spans="2:29" hidden="1" x14ac:dyDescent="0.2">
      <c r="H112" s="4"/>
      <c r="I112" s="4"/>
      <c r="J112" s="4"/>
      <c r="K112" s="4"/>
      <c r="L112" s="4"/>
      <c r="M112" s="4"/>
      <c r="N112" s="4"/>
      <c r="O112" s="4"/>
      <c r="P112" s="4"/>
      <c r="Q112" s="4"/>
      <c r="R112" s="4"/>
      <c r="S112" s="4"/>
      <c r="T112" s="4"/>
      <c r="U112" s="4"/>
      <c r="V112" s="4"/>
      <c r="W112" s="4"/>
      <c r="X112" s="4"/>
      <c r="Y112" s="4"/>
      <c r="Z112" s="4"/>
      <c r="AA112" s="4"/>
      <c r="AB112" s="4"/>
      <c r="AC112" s="4"/>
    </row>
    <row r="113" spans="5:31" ht="10.5" hidden="1" customHeight="1" x14ac:dyDescent="0.2">
      <c r="H113" s="4"/>
      <c r="I113" s="4"/>
      <c r="J113" s="4"/>
      <c r="K113" s="4"/>
      <c r="L113" s="4"/>
      <c r="M113" s="4"/>
      <c r="N113" s="4"/>
      <c r="O113" s="4"/>
      <c r="P113" s="4"/>
      <c r="Q113" s="4"/>
      <c r="R113" s="4"/>
      <c r="S113" s="4"/>
      <c r="T113" s="4"/>
      <c r="U113" s="4"/>
      <c r="V113" s="4"/>
      <c r="W113" s="4"/>
      <c r="X113" s="4"/>
      <c r="Y113" s="4"/>
      <c r="Z113" s="4"/>
      <c r="AA113" s="4"/>
      <c r="AB113" s="4"/>
      <c r="AC113" s="4"/>
    </row>
    <row r="114" spans="5:31" hidden="1" x14ac:dyDescent="0.2">
      <c r="H114" s="4"/>
      <c r="I114" s="4"/>
      <c r="J114" s="4"/>
      <c r="K114" s="4"/>
      <c r="L114" s="4"/>
      <c r="M114" s="4"/>
      <c r="N114" s="4"/>
      <c r="O114" s="4"/>
      <c r="P114" s="4"/>
      <c r="Q114" s="4"/>
      <c r="R114" s="4"/>
      <c r="S114" s="4"/>
      <c r="T114" s="4"/>
      <c r="U114" s="4"/>
      <c r="V114" s="4"/>
      <c r="W114" s="4"/>
      <c r="X114" s="4"/>
      <c r="Y114" s="4"/>
      <c r="Z114" s="4"/>
      <c r="AA114" s="4"/>
      <c r="AB114" s="4"/>
      <c r="AC114" s="4"/>
    </row>
    <row r="115" spans="5:31" hidden="1" x14ac:dyDescent="0.2">
      <c r="E115" s="17" t="s">
        <v>82</v>
      </c>
      <c r="G115" s="15" t="s">
        <v>81</v>
      </c>
      <c r="J115" s="25" t="s">
        <v>128</v>
      </c>
      <c r="K115" s="4"/>
      <c r="L115" s="4"/>
      <c r="N115" s="30" t="s">
        <v>276</v>
      </c>
      <c r="O115" s="4"/>
      <c r="P115" s="4"/>
      <c r="Q115" s="4"/>
      <c r="R115" s="30" t="s">
        <v>277</v>
      </c>
      <c r="S115" s="4"/>
      <c r="T115" s="4"/>
      <c r="U115" s="4"/>
      <c r="V115" s="30" t="s">
        <v>278</v>
      </c>
      <c r="W115" s="4"/>
      <c r="X115" s="4"/>
      <c r="Y115" s="25" t="s">
        <v>458</v>
      </c>
      <c r="Z115" s="4"/>
      <c r="AA115" s="4"/>
      <c r="AB115" s="4"/>
      <c r="AC115" s="7"/>
      <c r="AD115" s="4"/>
      <c r="AE115" s="4"/>
    </row>
    <row r="116" spans="5:31" hidden="1" x14ac:dyDescent="0.2">
      <c r="E116" s="16" t="s">
        <v>1</v>
      </c>
      <c r="G116" s="16" t="str">
        <f>IF(General!B11="","",General!B11)</f>
        <v>No_Beam</v>
      </c>
      <c r="J116" s="31" t="str">
        <f>IF(General!B42="","",General!B42)</f>
        <v>St37</v>
      </c>
      <c r="K116" s="4"/>
      <c r="L116" s="4"/>
      <c r="M116" s="7"/>
      <c r="N116" s="31" t="s">
        <v>275</v>
      </c>
      <c r="O116" s="4"/>
      <c r="P116" s="4"/>
      <c r="Q116" s="4"/>
      <c r="R116" s="31" t="s">
        <v>285</v>
      </c>
      <c r="S116" s="4"/>
      <c r="T116" s="4"/>
      <c r="U116" s="4"/>
      <c r="V116" s="31" t="s">
        <v>279</v>
      </c>
      <c r="W116" s="4"/>
      <c r="X116" s="4"/>
      <c r="Y116" s="31" t="s">
        <v>457</v>
      </c>
      <c r="Z116" s="4"/>
      <c r="AA116" s="4"/>
      <c r="AB116" s="4"/>
      <c r="AC116" s="7"/>
      <c r="AD116" s="4"/>
      <c r="AE116" s="4"/>
    </row>
    <row r="117" spans="5:31" hidden="1" x14ac:dyDescent="0.2">
      <c r="E117" s="8" t="s">
        <v>0</v>
      </c>
      <c r="G117" s="16" t="str">
        <f>IF(General!B12="","",General!B12)</f>
        <v>HE240B</v>
      </c>
      <c r="J117" s="31" t="str">
        <f>IF(General!B43="","",General!B43)</f>
        <v>St44</v>
      </c>
      <c r="K117" s="4"/>
      <c r="L117" s="4"/>
      <c r="M117" s="7"/>
      <c r="N117" s="31" t="s">
        <v>281</v>
      </c>
      <c r="O117" s="4"/>
      <c r="P117" s="4"/>
      <c r="Q117" s="4"/>
      <c r="R117" s="31" t="s">
        <v>286</v>
      </c>
      <c r="S117" s="4"/>
      <c r="T117" s="4"/>
      <c r="U117" s="4"/>
      <c r="V117" s="31" t="s">
        <v>289</v>
      </c>
      <c r="W117" s="4"/>
      <c r="X117" s="4"/>
      <c r="Y117" s="31" t="s">
        <v>459</v>
      </c>
      <c r="Z117" s="4"/>
      <c r="AA117" s="4"/>
      <c r="AB117" s="4"/>
      <c r="AC117" s="7"/>
      <c r="AD117" s="4"/>
      <c r="AE117" s="4"/>
    </row>
    <row r="118" spans="5:31" hidden="1" x14ac:dyDescent="0.2">
      <c r="E118" s="9" t="s">
        <v>2</v>
      </c>
      <c r="G118" s="16" t="str">
        <f>IF(General!B13="","",General!B13)</f>
        <v>HE400B</v>
      </c>
      <c r="J118" s="31" t="str">
        <f>IF(General!B44="","",General!B44)</f>
        <v>St52</v>
      </c>
      <c r="K118" s="4"/>
      <c r="L118" s="4"/>
      <c r="M118" s="7"/>
      <c r="N118" s="31" t="s">
        <v>282</v>
      </c>
      <c r="O118" s="4"/>
      <c r="P118" s="4"/>
      <c r="Q118" s="4"/>
      <c r="R118" s="31" t="s">
        <v>287</v>
      </c>
      <c r="S118" s="4"/>
      <c r="T118" s="4"/>
      <c r="U118" s="4"/>
      <c r="V118" s="4"/>
      <c r="W118" s="4"/>
      <c r="X118" s="4"/>
      <c r="Y118" s="4"/>
      <c r="Z118" s="4"/>
      <c r="AA118" s="4"/>
      <c r="AB118" s="4"/>
      <c r="AC118" s="7"/>
      <c r="AD118" s="4"/>
      <c r="AE118" s="4"/>
    </row>
    <row r="119" spans="5:31" hidden="1" x14ac:dyDescent="0.2">
      <c r="E119" s="10" t="s">
        <v>3</v>
      </c>
      <c r="G119" s="16" t="str">
        <f>IF(General!B14="","",General!B14)</f>
        <v>HE600B</v>
      </c>
      <c r="J119" s="31" t="str">
        <f>IF(General!B45="","",General!B45)</f>
        <v/>
      </c>
      <c r="K119" s="4"/>
      <c r="L119" s="4"/>
      <c r="M119" s="7"/>
      <c r="N119" s="31" t="s">
        <v>283</v>
      </c>
      <c r="O119" s="4"/>
      <c r="P119" s="4"/>
      <c r="Q119" s="4"/>
      <c r="R119" s="31" t="s">
        <v>288</v>
      </c>
      <c r="S119" s="4"/>
      <c r="T119" s="4"/>
      <c r="U119" s="4"/>
      <c r="V119" s="4"/>
      <c r="W119" s="4"/>
      <c r="X119" s="4"/>
      <c r="Y119" s="4"/>
      <c r="Z119" s="4"/>
      <c r="AA119" s="4"/>
      <c r="AB119" s="4"/>
      <c r="AC119" s="7"/>
      <c r="AD119" s="4"/>
      <c r="AE119" s="4"/>
    </row>
    <row r="120" spans="5:31" hidden="1" x14ac:dyDescent="0.2">
      <c r="G120" s="16" t="str">
        <f>IF(General!B15="","",General!B15)</f>
        <v>HE800B</v>
      </c>
      <c r="J120" s="31" t="str">
        <f>IF(General!B46="","",General!B46)</f>
        <v/>
      </c>
      <c r="K120" s="4"/>
      <c r="L120" s="4"/>
      <c r="M120" s="7"/>
      <c r="N120" s="31" t="s">
        <v>284</v>
      </c>
      <c r="O120" s="4"/>
      <c r="P120" s="4"/>
      <c r="Q120" s="4"/>
      <c r="R120" s="4"/>
      <c r="S120" s="4"/>
      <c r="T120" s="4"/>
      <c r="U120" s="4"/>
      <c r="V120" s="4"/>
      <c r="W120" s="4"/>
      <c r="X120" s="4"/>
      <c r="Y120" s="4"/>
      <c r="Z120" s="4"/>
      <c r="AA120" s="4"/>
      <c r="AB120" s="4"/>
      <c r="AC120" s="7"/>
      <c r="AD120" s="4"/>
      <c r="AE120" s="4"/>
    </row>
    <row r="121" spans="5:31" hidden="1" x14ac:dyDescent="0.2">
      <c r="E121" s="4" t="s">
        <v>109</v>
      </c>
      <c r="G121" s="16" t="str">
        <f>IF(General!B16="","",General!B16)</f>
        <v>HE1000B</v>
      </c>
      <c r="J121" s="31" t="str">
        <f>IF(General!B47="","",General!B47)</f>
        <v/>
      </c>
      <c r="K121" s="4"/>
      <c r="L121" s="4"/>
      <c r="M121" s="7"/>
      <c r="N121" s="7"/>
      <c r="O121" s="4"/>
      <c r="P121" s="4"/>
      <c r="Q121" s="4"/>
      <c r="R121" s="4"/>
      <c r="S121" s="4"/>
      <c r="T121" s="4"/>
      <c r="U121" s="4"/>
      <c r="V121" s="4"/>
      <c r="W121" s="4"/>
      <c r="X121" s="4"/>
      <c r="Y121" s="4"/>
      <c r="Z121" s="4"/>
      <c r="AA121" s="4"/>
      <c r="AB121" s="4"/>
      <c r="AC121" s="7"/>
      <c r="AD121" s="4"/>
      <c r="AE121" s="4"/>
    </row>
    <row r="122" spans="5:31" hidden="1" x14ac:dyDescent="0.2">
      <c r="E122" s="8" t="s">
        <v>70</v>
      </c>
      <c r="G122" s="16" t="str">
        <f>IF(General!B17="","",General!B17)</f>
        <v>IPE300</v>
      </c>
      <c r="J122" s="31" t="str">
        <f>IF(General!B48="","",General!B48)</f>
        <v/>
      </c>
      <c r="K122" s="4"/>
      <c r="L122" s="4"/>
      <c r="M122" s="7"/>
      <c r="N122" s="7"/>
      <c r="O122" s="4"/>
      <c r="P122" s="4"/>
      <c r="Q122" s="4"/>
      <c r="R122" s="4"/>
      <c r="S122" s="4"/>
      <c r="T122" s="4"/>
      <c r="U122" s="4"/>
      <c r="V122" s="4"/>
      <c r="W122" s="4"/>
      <c r="X122" s="4"/>
      <c r="Y122" s="4"/>
      <c r="Z122" s="4"/>
      <c r="AA122" s="4"/>
      <c r="AB122" s="4"/>
      <c r="AC122" s="7"/>
      <c r="AD122" s="4"/>
      <c r="AE122" s="4"/>
    </row>
    <row r="123" spans="5:31" hidden="1" x14ac:dyDescent="0.2">
      <c r="G123" s="16" t="str">
        <f>IF(General!B18="","",General!B18)</f>
        <v>IPE400</v>
      </c>
      <c r="J123" s="7"/>
      <c r="K123" s="4"/>
      <c r="L123" s="4"/>
      <c r="M123" s="7"/>
      <c r="N123" s="7"/>
      <c r="O123" s="4"/>
      <c r="P123" s="4"/>
      <c r="Q123" s="4"/>
      <c r="R123" s="4"/>
      <c r="S123" s="4"/>
      <c r="T123" s="4"/>
      <c r="U123" s="4"/>
      <c r="V123" s="4"/>
      <c r="W123" s="4"/>
      <c r="X123" s="4"/>
      <c r="Y123" s="4"/>
      <c r="Z123" s="4"/>
      <c r="AA123" s="4"/>
      <c r="AB123" s="4"/>
      <c r="AC123" s="7"/>
      <c r="AD123" s="4"/>
      <c r="AE123" s="4"/>
    </row>
    <row r="124" spans="5:31" hidden="1" x14ac:dyDescent="0.2">
      <c r="G124" s="16" t="str">
        <f>IF(General!B19="","",General!B19)</f>
        <v>IPE500</v>
      </c>
      <c r="J124" s="7"/>
      <c r="L124" s="4"/>
      <c r="M124" s="7"/>
      <c r="N124" s="7"/>
      <c r="O124" s="4"/>
      <c r="P124" s="4"/>
      <c r="R124" s="4"/>
      <c r="S124" s="4"/>
      <c r="T124" s="4"/>
      <c r="U124" s="4"/>
      <c r="V124" s="4"/>
      <c r="W124" s="4"/>
      <c r="X124" s="4"/>
      <c r="Y124" s="4"/>
      <c r="Z124" s="4"/>
      <c r="AA124" s="4"/>
      <c r="AB124" s="4"/>
      <c r="AC124" s="7"/>
    </row>
    <row r="125" spans="5:31" hidden="1" x14ac:dyDescent="0.2">
      <c r="E125" s="25" t="s">
        <v>122</v>
      </c>
      <c r="G125" s="16" t="str">
        <f>IF(General!B20="","",General!B20)</f>
        <v>IPE600</v>
      </c>
      <c r="J125" s="7"/>
      <c r="L125" s="4"/>
      <c r="M125" s="7"/>
      <c r="N125" s="7"/>
      <c r="O125" s="4"/>
      <c r="P125" s="4"/>
      <c r="R125" s="4"/>
      <c r="S125" s="4"/>
      <c r="T125" s="4"/>
      <c r="U125" s="4"/>
      <c r="V125" s="4"/>
      <c r="W125" s="4"/>
      <c r="X125" s="4"/>
      <c r="Y125" s="4"/>
      <c r="Z125" s="4"/>
      <c r="AA125" s="4"/>
      <c r="AB125" s="4"/>
      <c r="AC125" s="7"/>
    </row>
    <row r="126" spans="5:31" hidden="1" x14ac:dyDescent="0.2">
      <c r="E126" s="4" t="s">
        <v>120</v>
      </c>
      <c r="G126" s="16" t="str">
        <f>IF(General!B21="","",General!B21)</f>
        <v>//</v>
      </c>
      <c r="J126" s="7"/>
      <c r="L126" s="4"/>
      <c r="M126" s="7"/>
      <c r="N126" s="7"/>
      <c r="O126" s="4"/>
      <c r="P126" s="4"/>
      <c r="R126" s="4"/>
      <c r="S126" s="4"/>
      <c r="T126" s="4"/>
      <c r="U126" s="4"/>
      <c r="V126" s="4"/>
      <c r="W126" s="4"/>
      <c r="X126" s="4"/>
      <c r="Y126" s="4"/>
      <c r="Z126" s="4"/>
      <c r="AA126" s="4"/>
      <c r="AB126" s="4"/>
      <c r="AC126" s="7"/>
    </row>
    <row r="127" spans="5:31" hidden="1" x14ac:dyDescent="0.2">
      <c r="E127" s="4" t="s">
        <v>123</v>
      </c>
      <c r="G127" s="16" t="str">
        <f>IF(General!B22="","",General!B22)</f>
        <v>P508x19</v>
      </c>
      <c r="J127" s="7"/>
      <c r="L127" s="4"/>
      <c r="M127" s="7"/>
      <c r="N127" s="7"/>
      <c r="O127" s="4"/>
      <c r="P127" s="4"/>
      <c r="R127" s="4"/>
      <c r="S127" s="4"/>
      <c r="T127" s="4"/>
      <c r="U127" s="4"/>
      <c r="V127" s="4"/>
      <c r="W127" s="4"/>
      <c r="X127" s="4"/>
      <c r="Y127" s="4"/>
      <c r="Z127" s="4"/>
      <c r="AA127" s="4"/>
      <c r="AB127" s="4"/>
      <c r="AC127" s="7"/>
    </row>
    <row r="128" spans="5:31" hidden="1" x14ac:dyDescent="0.2">
      <c r="E128" s="4" t="s">
        <v>124</v>
      </c>
      <c r="G128" s="16" t="str">
        <f>IF(General!B23="","",General!B23)</f>
        <v>P600x20</v>
      </c>
      <c r="J128" s="7"/>
      <c r="L128" s="4"/>
      <c r="M128" s="7"/>
      <c r="N128" s="7"/>
      <c r="O128" s="4"/>
      <c r="P128" s="4"/>
      <c r="R128" s="4"/>
      <c r="S128" s="4"/>
      <c r="T128" s="4"/>
      <c r="U128" s="4"/>
      <c r="V128" s="4"/>
      <c r="W128" s="4"/>
      <c r="X128" s="4"/>
      <c r="Y128" s="4"/>
      <c r="Z128" s="4"/>
      <c r="AA128" s="4"/>
      <c r="AB128" s="4"/>
      <c r="AC128" s="7"/>
    </row>
    <row r="129" spans="7:29" hidden="1" x14ac:dyDescent="0.2">
      <c r="G129" s="16" t="str">
        <f>IF(General!B24="","",General!B24)</f>
        <v>P700x30</v>
      </c>
      <c r="L129" s="4"/>
      <c r="M129" s="7"/>
      <c r="N129" s="7"/>
      <c r="O129" s="4"/>
      <c r="P129" s="4"/>
      <c r="R129" s="4"/>
      <c r="S129" s="4"/>
      <c r="T129" s="4"/>
      <c r="U129" s="4"/>
      <c r="V129" s="4"/>
      <c r="W129" s="4"/>
      <c r="X129" s="4"/>
      <c r="Y129" s="4"/>
      <c r="Z129" s="4"/>
      <c r="AA129" s="4"/>
      <c r="AB129" s="4"/>
      <c r="AC129" s="7"/>
    </row>
    <row r="130" spans="7:29" hidden="1" x14ac:dyDescent="0.2">
      <c r="G130" s="16" t="str">
        <f>IF(General!B25="","",General!B25)</f>
        <v>P900x40</v>
      </c>
    </row>
    <row r="131" spans="7:29" hidden="1" x14ac:dyDescent="0.2">
      <c r="G131" s="16" t="str">
        <f>IF(General!B26="","",General!B26)</f>
        <v>P1400x40</v>
      </c>
    </row>
    <row r="132" spans="7:29" hidden="1" x14ac:dyDescent="0.2">
      <c r="G132" s="16" t="str">
        <f>IF(General!B27="","",General!B27)</f>
        <v>P1800x50</v>
      </c>
    </row>
    <row r="133" spans="7:29" hidden="1" x14ac:dyDescent="0.2">
      <c r="G133" s="16" t="str">
        <f>IF(General!B28="","",General!B28)</f>
        <v>//</v>
      </c>
    </row>
    <row r="134" spans="7:29" hidden="1" x14ac:dyDescent="0.2">
      <c r="G134" s="16" t="str">
        <f>IF(General!B29="","",General!B29)</f>
        <v>Plate_10</v>
      </c>
    </row>
    <row r="135" spans="7:29" hidden="1" x14ac:dyDescent="0.2">
      <c r="G135" s="16" t="str">
        <f>IF(General!B30="","",General!B30)</f>
        <v>Plate_15</v>
      </c>
    </row>
    <row r="136" spans="7:29" hidden="1" x14ac:dyDescent="0.2">
      <c r="G136" s="16" t="str">
        <f>IF(General!B31="","",General!B31)</f>
        <v>Plate_20</v>
      </c>
    </row>
    <row r="137" spans="7:29" hidden="1" x14ac:dyDescent="0.2">
      <c r="G137" s="16" t="str">
        <f>IF(General!B32="","",General!B32)</f>
        <v/>
      </c>
    </row>
    <row r="138" spans="7:29" hidden="1" x14ac:dyDescent="0.2">
      <c r="G138" s="16" t="str">
        <f>IF(General!B33="","",General!B33)</f>
        <v/>
      </c>
    </row>
    <row r="139" spans="7:29" hidden="1" x14ac:dyDescent="0.2">
      <c r="G139" s="16" t="str">
        <f>IF(General!B34="","",General!B34)</f>
        <v/>
      </c>
    </row>
    <row r="140" spans="7:29" hidden="1" x14ac:dyDescent="0.2">
      <c r="G140" s="16" t="str">
        <f>IF(General!B35="","",General!B35)</f>
        <v/>
      </c>
    </row>
    <row r="141" spans="7:29" hidden="1" x14ac:dyDescent="0.2">
      <c r="G141" s="16" t="str">
        <f>IF(General!B36="","",General!B36)</f>
        <v/>
      </c>
    </row>
    <row r="142" spans="7:29" hidden="1" x14ac:dyDescent="0.2">
      <c r="G142" s="16" t="str">
        <f>IF(General!B37="","",General!B37)</f>
        <v/>
      </c>
    </row>
    <row r="143" spans="7:29" hidden="1" x14ac:dyDescent="0.2">
      <c r="G143" s="3"/>
    </row>
    <row r="144" spans="7:29" hidden="1" x14ac:dyDescent="0.2"/>
    <row r="145" hidden="1" x14ac:dyDescent="0.2"/>
    <row r="146" hidden="1" x14ac:dyDescent="0.2"/>
    <row r="147" hidden="1" x14ac:dyDescent="0.2"/>
    <row r="148" hidden="1" x14ac:dyDescent="0.2"/>
    <row r="149" hidden="1" x14ac:dyDescent="0.2"/>
    <row r="150" hidden="1" x14ac:dyDescent="0.2"/>
    <row r="151" hidden="1" x14ac:dyDescent="0.2"/>
    <row r="152" hidden="1" x14ac:dyDescent="0.2"/>
    <row r="153" hidden="1" x14ac:dyDescent="0.2"/>
    <row r="154" hidden="1" x14ac:dyDescent="0.2"/>
    <row r="155" hidden="1" x14ac:dyDescent="0.2"/>
    <row r="156" hidden="1" x14ac:dyDescent="0.2"/>
  </sheetData>
  <sheetProtection password="F507" sheet="1" objects="1" scenarios="1"/>
  <protectedRanges>
    <protectedRange sqref="C3" name="Range3"/>
    <protectedRange sqref="C8:C18 G94:G103 D8:D19 F94:F105 D21 C20:C26 C46:C49" name="Range1"/>
    <protectedRange sqref="AE10:AE15 AK47:BN49 AK25 F27:AE28 E49 AE32:AE39 F51:AE51 D59:D61 D55:D57 G50:AE50 F49:F50 G49:AF49 AL50:BN50 E47:AF48 AL25:BN26 AK23:BN24 E23:AF24 D63:D68" name="Range2"/>
  </protectedRanges>
  <mergeCells count="480">
    <mergeCell ref="BA6:BB6"/>
    <mergeCell ref="BC6:BD6"/>
    <mergeCell ref="D11:D12"/>
    <mergeCell ref="B65:C65"/>
    <mergeCell ref="D65:F65"/>
    <mergeCell ref="AS6:AT6"/>
    <mergeCell ref="AU6:AV6"/>
    <mergeCell ref="AW6:AX6"/>
    <mergeCell ref="AY6:AZ6"/>
    <mergeCell ref="AK6:AL6"/>
    <mergeCell ref="AM6:AN6"/>
    <mergeCell ref="AO6:AP6"/>
    <mergeCell ref="AQ6:AR6"/>
    <mergeCell ref="B66:C66"/>
    <mergeCell ref="D66:F66"/>
    <mergeCell ref="B58:C58"/>
    <mergeCell ref="D58:F58"/>
    <mergeCell ref="B38:B39"/>
    <mergeCell ref="C38:C39"/>
    <mergeCell ref="D39:D40"/>
    <mergeCell ref="C3:E3"/>
    <mergeCell ref="E7:F7"/>
    <mergeCell ref="B56:C56"/>
    <mergeCell ref="D56:F56"/>
    <mergeCell ref="B57:C57"/>
    <mergeCell ref="D57:F57"/>
    <mergeCell ref="C44:C45"/>
    <mergeCell ref="E48:F48"/>
    <mergeCell ref="E49:F49"/>
    <mergeCell ref="F50:G50"/>
    <mergeCell ref="B40:B41"/>
    <mergeCell ref="C40:C41"/>
    <mergeCell ref="D41:D42"/>
    <mergeCell ref="B42:B43"/>
    <mergeCell ref="C42:C43"/>
    <mergeCell ref="D43:D44"/>
    <mergeCell ref="B44:B45"/>
    <mergeCell ref="E24:F24"/>
    <mergeCell ref="E25:F25"/>
    <mergeCell ref="F26:G26"/>
    <mergeCell ref="C36:C37"/>
    <mergeCell ref="D37:D38"/>
    <mergeCell ref="G24:H24"/>
    <mergeCell ref="H26:I26"/>
    <mergeCell ref="F27:G27"/>
    <mergeCell ref="H27:I27"/>
    <mergeCell ref="E31:F31"/>
    <mergeCell ref="AH14:AH15"/>
    <mergeCell ref="C16:C17"/>
    <mergeCell ref="C18:C19"/>
    <mergeCell ref="D19:D20"/>
    <mergeCell ref="C20:C21"/>
    <mergeCell ref="AH20:AH21"/>
    <mergeCell ref="AC7:AD7"/>
    <mergeCell ref="C14:C15"/>
    <mergeCell ref="I7:J7"/>
    <mergeCell ref="U7:V7"/>
    <mergeCell ref="W7:X7"/>
    <mergeCell ref="Y7:Z7"/>
    <mergeCell ref="G7:H7"/>
    <mergeCell ref="C8:C9"/>
    <mergeCell ref="AI8:AI9"/>
    <mergeCell ref="D9:D10"/>
    <mergeCell ref="K7:L7"/>
    <mergeCell ref="M7:N7"/>
    <mergeCell ref="O7:P7"/>
    <mergeCell ref="Q7:R7"/>
    <mergeCell ref="S7:T7"/>
    <mergeCell ref="AA7:AB7"/>
    <mergeCell ref="AE7:AF7"/>
    <mergeCell ref="AH8:AH9"/>
    <mergeCell ref="AJ9:AJ10"/>
    <mergeCell ref="C10:C11"/>
    <mergeCell ref="AH10:AH11"/>
    <mergeCell ref="AI10:AI11"/>
    <mergeCell ref="AJ11:AJ12"/>
    <mergeCell ref="C12:C13"/>
    <mergeCell ref="AH12:AH13"/>
    <mergeCell ref="AI12:AI13"/>
    <mergeCell ref="D13:D14"/>
    <mergeCell ref="AJ13:AJ14"/>
    <mergeCell ref="AI14:AI15"/>
    <mergeCell ref="D15:D16"/>
    <mergeCell ref="AJ15:AJ16"/>
    <mergeCell ref="AH16:AH17"/>
    <mergeCell ref="AI16:AI17"/>
    <mergeCell ref="D17:D18"/>
    <mergeCell ref="AJ17:AJ18"/>
    <mergeCell ref="AH18:AH19"/>
    <mergeCell ref="AI18:AI19"/>
    <mergeCell ref="AJ19:AJ20"/>
    <mergeCell ref="AI20:AI21"/>
    <mergeCell ref="E22:F22"/>
    <mergeCell ref="G22:H22"/>
    <mergeCell ref="I22:J22"/>
    <mergeCell ref="K22:L22"/>
    <mergeCell ref="M22:N22"/>
    <mergeCell ref="O22:P22"/>
    <mergeCell ref="Q22:R22"/>
    <mergeCell ref="S22:T22"/>
    <mergeCell ref="U22:V22"/>
    <mergeCell ref="AE22:AF22"/>
    <mergeCell ref="AK22:AL22"/>
    <mergeCell ref="AM22:AN22"/>
    <mergeCell ref="AO22:AP22"/>
    <mergeCell ref="W22:X22"/>
    <mergeCell ref="Y22:Z22"/>
    <mergeCell ref="AA22:AB22"/>
    <mergeCell ref="AC22:AD22"/>
    <mergeCell ref="BK22:BL22"/>
    <mergeCell ref="BM22:BN22"/>
    <mergeCell ref="AY22:AZ22"/>
    <mergeCell ref="BA22:BB22"/>
    <mergeCell ref="BC22:BD22"/>
    <mergeCell ref="BE22:BF22"/>
    <mergeCell ref="E23:F23"/>
    <mergeCell ref="G23:H23"/>
    <mergeCell ref="I23:J23"/>
    <mergeCell ref="K23:L23"/>
    <mergeCell ref="BG22:BH22"/>
    <mergeCell ref="BI22:BJ22"/>
    <mergeCell ref="AQ22:AR22"/>
    <mergeCell ref="AS22:AT22"/>
    <mergeCell ref="AU22:AV22"/>
    <mergeCell ref="AW22:AX22"/>
    <mergeCell ref="U23:V23"/>
    <mergeCell ref="W23:X23"/>
    <mergeCell ref="Y23:Z23"/>
    <mergeCell ref="AA23:AB23"/>
    <mergeCell ref="M23:N23"/>
    <mergeCell ref="O23:P23"/>
    <mergeCell ref="Q23:R23"/>
    <mergeCell ref="S23:T23"/>
    <mergeCell ref="AO23:AP23"/>
    <mergeCell ref="AQ23:AR23"/>
    <mergeCell ref="AS23:AT23"/>
    <mergeCell ref="AU23:AV23"/>
    <mergeCell ref="AC23:AD23"/>
    <mergeCell ref="AE23:AF23"/>
    <mergeCell ref="AK23:AL23"/>
    <mergeCell ref="AM23:AN23"/>
    <mergeCell ref="BE23:BF23"/>
    <mergeCell ref="BG23:BH23"/>
    <mergeCell ref="BI23:BJ23"/>
    <mergeCell ref="BK23:BL23"/>
    <mergeCell ref="AW23:AX23"/>
    <mergeCell ref="AY23:AZ23"/>
    <mergeCell ref="BA23:BB23"/>
    <mergeCell ref="BC23:BD23"/>
    <mergeCell ref="BM23:BN23"/>
    <mergeCell ref="I24:J24"/>
    <mergeCell ref="K24:L24"/>
    <mergeCell ref="M24:N24"/>
    <mergeCell ref="O24:P24"/>
    <mergeCell ref="Q24:R24"/>
    <mergeCell ref="S24:T24"/>
    <mergeCell ref="U24:V24"/>
    <mergeCell ref="W24:X24"/>
    <mergeCell ref="Y24:Z24"/>
    <mergeCell ref="AM24:AN24"/>
    <mergeCell ref="AO24:AP24"/>
    <mergeCell ref="AQ24:AR24"/>
    <mergeCell ref="AS24:AT24"/>
    <mergeCell ref="AA24:AB24"/>
    <mergeCell ref="AC24:AD24"/>
    <mergeCell ref="AE24:AF24"/>
    <mergeCell ref="AK24:AL24"/>
    <mergeCell ref="BC24:BD24"/>
    <mergeCell ref="BE24:BF24"/>
    <mergeCell ref="BG24:BH24"/>
    <mergeCell ref="BI24:BJ24"/>
    <mergeCell ref="AU24:AV24"/>
    <mergeCell ref="AW24:AX24"/>
    <mergeCell ref="AY24:AZ24"/>
    <mergeCell ref="BA24:BB24"/>
    <mergeCell ref="BK24:BL24"/>
    <mergeCell ref="BM24:BN24"/>
    <mergeCell ref="G25:H25"/>
    <mergeCell ref="I25:J25"/>
    <mergeCell ref="K25:L25"/>
    <mergeCell ref="M25:N25"/>
    <mergeCell ref="O25:P25"/>
    <mergeCell ref="Q25:R25"/>
    <mergeCell ref="S25:T25"/>
    <mergeCell ref="U25:V25"/>
    <mergeCell ref="AE25:AF25"/>
    <mergeCell ref="AK25:AL25"/>
    <mergeCell ref="AM25:AN25"/>
    <mergeCell ref="AO25:AP25"/>
    <mergeCell ref="W25:X25"/>
    <mergeCell ref="Y25:Z25"/>
    <mergeCell ref="AA25:AB25"/>
    <mergeCell ref="AC25:AD25"/>
    <mergeCell ref="BK25:BL25"/>
    <mergeCell ref="BM25:BN25"/>
    <mergeCell ref="AY25:AZ25"/>
    <mergeCell ref="BA25:BB25"/>
    <mergeCell ref="BC25:BD25"/>
    <mergeCell ref="BE25:BF25"/>
    <mergeCell ref="J26:K26"/>
    <mergeCell ref="L26:M26"/>
    <mergeCell ref="N26:O26"/>
    <mergeCell ref="P26:Q26"/>
    <mergeCell ref="BG25:BH25"/>
    <mergeCell ref="BI25:BJ25"/>
    <mergeCell ref="AQ25:AR25"/>
    <mergeCell ref="AS25:AT25"/>
    <mergeCell ref="AU25:AV25"/>
    <mergeCell ref="AW25:AX25"/>
    <mergeCell ref="Z26:AA26"/>
    <mergeCell ref="AB26:AC26"/>
    <mergeCell ref="AD26:AE26"/>
    <mergeCell ref="AL26:AM26"/>
    <mergeCell ref="R26:S26"/>
    <mergeCell ref="T26:U26"/>
    <mergeCell ref="V26:W26"/>
    <mergeCell ref="X26:Y26"/>
    <mergeCell ref="T27:U27"/>
    <mergeCell ref="V27:W27"/>
    <mergeCell ref="BD26:BE26"/>
    <mergeCell ref="BF26:BG26"/>
    <mergeCell ref="BH26:BI26"/>
    <mergeCell ref="AV26:AW26"/>
    <mergeCell ref="AX26:AY26"/>
    <mergeCell ref="AZ26:BA26"/>
    <mergeCell ref="BB26:BC26"/>
    <mergeCell ref="AT26:AU26"/>
    <mergeCell ref="J27:K27"/>
    <mergeCell ref="L27:M27"/>
    <mergeCell ref="N27:O27"/>
    <mergeCell ref="P27:Q27"/>
    <mergeCell ref="AQ30:AR30"/>
    <mergeCell ref="X27:Y27"/>
    <mergeCell ref="Z27:AA27"/>
    <mergeCell ref="AB27:AC27"/>
    <mergeCell ref="AD27:AE27"/>
    <mergeCell ref="R27:S27"/>
    <mergeCell ref="BL26:BM26"/>
    <mergeCell ref="BJ26:BK26"/>
    <mergeCell ref="AN26:AO26"/>
    <mergeCell ref="AP26:AQ26"/>
    <mergeCell ref="AR26:AS26"/>
    <mergeCell ref="BC30:BD30"/>
    <mergeCell ref="AM30:AN30"/>
    <mergeCell ref="AO30:AP30"/>
    <mergeCell ref="G31:H31"/>
    <mergeCell ref="I31:J31"/>
    <mergeCell ref="K31:L31"/>
    <mergeCell ref="M31:N31"/>
    <mergeCell ref="O31:P31"/>
    <mergeCell ref="Q31:R31"/>
    <mergeCell ref="S31:T31"/>
    <mergeCell ref="AS30:AT30"/>
    <mergeCell ref="W31:X31"/>
    <mergeCell ref="Y31:Z31"/>
    <mergeCell ref="AA31:AB31"/>
    <mergeCell ref="BA30:BB30"/>
    <mergeCell ref="AU30:AV30"/>
    <mergeCell ref="AW30:AX30"/>
    <mergeCell ref="AY30:AZ30"/>
    <mergeCell ref="AK30:AL30"/>
    <mergeCell ref="AC31:AD31"/>
    <mergeCell ref="AE31:AF31"/>
    <mergeCell ref="B32:B33"/>
    <mergeCell ref="C32:C33"/>
    <mergeCell ref="D33:D34"/>
    <mergeCell ref="B34:B35"/>
    <mergeCell ref="C34:C35"/>
    <mergeCell ref="D35:D36"/>
    <mergeCell ref="B36:B37"/>
    <mergeCell ref="U31:V31"/>
    <mergeCell ref="M46:N46"/>
    <mergeCell ref="O46:P46"/>
    <mergeCell ref="Q46:R46"/>
    <mergeCell ref="S46:T46"/>
    <mergeCell ref="E46:F46"/>
    <mergeCell ref="G46:H46"/>
    <mergeCell ref="I46:J46"/>
    <mergeCell ref="K46:L46"/>
    <mergeCell ref="AC46:AD46"/>
    <mergeCell ref="AE46:AF46"/>
    <mergeCell ref="AK46:AL46"/>
    <mergeCell ref="AM46:AN46"/>
    <mergeCell ref="U46:V46"/>
    <mergeCell ref="W46:X46"/>
    <mergeCell ref="Y46:Z46"/>
    <mergeCell ref="AA46:AB46"/>
    <mergeCell ref="BI46:BJ46"/>
    <mergeCell ref="BK46:BL46"/>
    <mergeCell ref="AW46:AX46"/>
    <mergeCell ref="AY46:AZ46"/>
    <mergeCell ref="BA46:BB46"/>
    <mergeCell ref="BC46:BD46"/>
    <mergeCell ref="O47:P47"/>
    <mergeCell ref="Q47:R47"/>
    <mergeCell ref="S47:T47"/>
    <mergeCell ref="U47:V47"/>
    <mergeCell ref="BE46:BF46"/>
    <mergeCell ref="BG46:BH46"/>
    <mergeCell ref="AO46:AP46"/>
    <mergeCell ref="AQ46:AR46"/>
    <mergeCell ref="AS46:AT46"/>
    <mergeCell ref="AU46:AV46"/>
    <mergeCell ref="W47:X47"/>
    <mergeCell ref="Y47:Z47"/>
    <mergeCell ref="AA47:AB47"/>
    <mergeCell ref="AC47:AD47"/>
    <mergeCell ref="BM46:BN46"/>
    <mergeCell ref="E47:F47"/>
    <mergeCell ref="G47:H47"/>
    <mergeCell ref="I47:J47"/>
    <mergeCell ref="K47:L47"/>
    <mergeCell ref="M47:N47"/>
    <mergeCell ref="AQ47:AR47"/>
    <mergeCell ref="AS47:AT47"/>
    <mergeCell ref="AU47:AV47"/>
    <mergeCell ref="AW47:AX47"/>
    <mergeCell ref="AE47:AF47"/>
    <mergeCell ref="AK47:AL47"/>
    <mergeCell ref="AM47:AN47"/>
    <mergeCell ref="AO47:AP47"/>
    <mergeCell ref="BG47:BH47"/>
    <mergeCell ref="BI47:BJ47"/>
    <mergeCell ref="BK47:BL47"/>
    <mergeCell ref="BM47:BN47"/>
    <mergeCell ref="AY47:AZ47"/>
    <mergeCell ref="BA47:BB47"/>
    <mergeCell ref="BC47:BD47"/>
    <mergeCell ref="BE47:BF47"/>
    <mergeCell ref="O48:P48"/>
    <mergeCell ref="Q48:R48"/>
    <mergeCell ref="S48:T48"/>
    <mergeCell ref="U48:V48"/>
    <mergeCell ref="G48:H48"/>
    <mergeCell ref="I48:J48"/>
    <mergeCell ref="K48:L48"/>
    <mergeCell ref="M48:N48"/>
    <mergeCell ref="AE48:AF48"/>
    <mergeCell ref="AK48:AL48"/>
    <mergeCell ref="AM48:AN48"/>
    <mergeCell ref="AO48:AP48"/>
    <mergeCell ref="W48:X48"/>
    <mergeCell ref="Y48:Z48"/>
    <mergeCell ref="AA48:AB48"/>
    <mergeCell ref="AC48:AD48"/>
    <mergeCell ref="BK48:BL48"/>
    <mergeCell ref="BM48:BN48"/>
    <mergeCell ref="AY48:AZ48"/>
    <mergeCell ref="BA48:BB48"/>
    <mergeCell ref="BC48:BD48"/>
    <mergeCell ref="BE48:BF48"/>
    <mergeCell ref="G49:H49"/>
    <mergeCell ref="I49:J49"/>
    <mergeCell ref="K49:L49"/>
    <mergeCell ref="M49:N49"/>
    <mergeCell ref="BG48:BH48"/>
    <mergeCell ref="BI48:BJ48"/>
    <mergeCell ref="AQ48:AR48"/>
    <mergeCell ref="AS48:AT48"/>
    <mergeCell ref="AU48:AV48"/>
    <mergeCell ref="AW48:AX48"/>
    <mergeCell ref="W49:X49"/>
    <mergeCell ref="Y49:Z49"/>
    <mergeCell ref="AA49:AB49"/>
    <mergeCell ref="AC49:AD49"/>
    <mergeCell ref="O49:P49"/>
    <mergeCell ref="Q49:R49"/>
    <mergeCell ref="S49:T49"/>
    <mergeCell ref="U49:V49"/>
    <mergeCell ref="AQ49:AR49"/>
    <mergeCell ref="AS49:AT49"/>
    <mergeCell ref="AU49:AV49"/>
    <mergeCell ref="AW49:AX49"/>
    <mergeCell ref="AE49:AF49"/>
    <mergeCell ref="AK49:AL49"/>
    <mergeCell ref="AM49:AN49"/>
    <mergeCell ref="AO49:AP49"/>
    <mergeCell ref="BG49:BH49"/>
    <mergeCell ref="BI49:BJ49"/>
    <mergeCell ref="BK49:BL49"/>
    <mergeCell ref="BM49:BN49"/>
    <mergeCell ref="AY49:AZ49"/>
    <mergeCell ref="BA49:BB49"/>
    <mergeCell ref="BC49:BD49"/>
    <mergeCell ref="BE49:BF49"/>
    <mergeCell ref="P50:Q50"/>
    <mergeCell ref="R50:S50"/>
    <mergeCell ref="T50:U50"/>
    <mergeCell ref="V50:W50"/>
    <mergeCell ref="H50:I50"/>
    <mergeCell ref="J50:K50"/>
    <mergeCell ref="L50:M50"/>
    <mergeCell ref="N50:O50"/>
    <mergeCell ref="BH50:BI50"/>
    <mergeCell ref="AT50:AU50"/>
    <mergeCell ref="AV50:AW50"/>
    <mergeCell ref="AX50:AY50"/>
    <mergeCell ref="AZ50:BA50"/>
    <mergeCell ref="AL50:AM50"/>
    <mergeCell ref="AN50:AO50"/>
    <mergeCell ref="AP50:AQ50"/>
    <mergeCell ref="AR50:AS50"/>
    <mergeCell ref="P51:Q51"/>
    <mergeCell ref="R51:S51"/>
    <mergeCell ref="T51:U51"/>
    <mergeCell ref="BB50:BC50"/>
    <mergeCell ref="BD50:BE50"/>
    <mergeCell ref="BF50:BG50"/>
    <mergeCell ref="X50:Y50"/>
    <mergeCell ref="Z50:AA50"/>
    <mergeCell ref="AB50:AC50"/>
    <mergeCell ref="AD50:AE50"/>
    <mergeCell ref="X51:Y51"/>
    <mergeCell ref="Z51:AA51"/>
    <mergeCell ref="AB51:AC51"/>
    <mergeCell ref="BJ50:BK50"/>
    <mergeCell ref="BL50:BM50"/>
    <mergeCell ref="F51:G51"/>
    <mergeCell ref="H51:I51"/>
    <mergeCell ref="J51:K51"/>
    <mergeCell ref="L51:M51"/>
    <mergeCell ref="N51:O51"/>
    <mergeCell ref="B59:C59"/>
    <mergeCell ref="D59:F59"/>
    <mergeCell ref="B60:C60"/>
    <mergeCell ref="D60:F60"/>
    <mergeCell ref="AD51:AE51"/>
    <mergeCell ref="B54:C54"/>
    <mergeCell ref="D54:F54"/>
    <mergeCell ref="B55:C55"/>
    <mergeCell ref="D55:F55"/>
    <mergeCell ref="V51:W51"/>
    <mergeCell ref="B63:C63"/>
    <mergeCell ref="D63:F63"/>
    <mergeCell ref="B64:C64"/>
    <mergeCell ref="D64:F64"/>
    <mergeCell ref="B61:C61"/>
    <mergeCell ref="D61:F61"/>
    <mergeCell ref="B62:C62"/>
    <mergeCell ref="D62:F62"/>
    <mergeCell ref="B69:C69"/>
    <mergeCell ref="D69:F69"/>
    <mergeCell ref="B70:C70"/>
    <mergeCell ref="D70:F70"/>
    <mergeCell ref="B67:C67"/>
    <mergeCell ref="D67:F67"/>
    <mergeCell ref="B68:C68"/>
    <mergeCell ref="D68:F68"/>
    <mergeCell ref="B73:C73"/>
    <mergeCell ref="D73:F73"/>
    <mergeCell ref="B74:C74"/>
    <mergeCell ref="D74:F74"/>
    <mergeCell ref="B71:C71"/>
    <mergeCell ref="D71:F71"/>
    <mergeCell ref="B72:C72"/>
    <mergeCell ref="D72:F72"/>
    <mergeCell ref="B77:C77"/>
    <mergeCell ref="D77:F77"/>
    <mergeCell ref="B78:C78"/>
    <mergeCell ref="D78:F78"/>
    <mergeCell ref="B75:C75"/>
    <mergeCell ref="D75:F75"/>
    <mergeCell ref="B76:C76"/>
    <mergeCell ref="D76:F76"/>
    <mergeCell ref="B81:C81"/>
    <mergeCell ref="D81:F81"/>
    <mergeCell ref="B82:C82"/>
    <mergeCell ref="D82:F82"/>
    <mergeCell ref="B79:C79"/>
    <mergeCell ref="D79:F79"/>
    <mergeCell ref="B80:C80"/>
    <mergeCell ref="D80:F80"/>
    <mergeCell ref="B85:C85"/>
    <mergeCell ref="D85:F85"/>
    <mergeCell ref="B86:C86"/>
    <mergeCell ref="D86:F86"/>
    <mergeCell ref="B83:C83"/>
    <mergeCell ref="D83:F83"/>
    <mergeCell ref="B84:C84"/>
    <mergeCell ref="D84:F84"/>
  </mergeCells>
  <phoneticPr fontId="2" type="noConversion"/>
  <conditionalFormatting sqref="C10">
    <cfRule type="expression" dxfId="0" priority="1" stopIfTrue="1">
      <formula>"$D$44="""""</formula>
    </cfRule>
  </conditionalFormatting>
  <dataValidations count="30">
    <dataValidation allowBlank="1" showInputMessage="1" showErrorMessage="1" promptTitle="X-coordinate at top of leg" prompt="Distance in X direction from datum point to top of leg. Give either the X-coordinate or the spacings between the legs, not both." sqref="Q7:S7 U7:AF7 BA22:BC22 AK22:AM22 AO22:AQ22 AS22:AU22 AW22:AY22 BM22:BN22 BE22:BG22 BI22:BK22"/>
    <dataValidation allowBlank="1" showInputMessage="1" showErrorMessage="1" promptTitle="Z-elevation of horizontal frame" prompt="Give either the Z-elevation or the spacings between the horizontal frames, not both." sqref="C31"/>
    <dataValidation allowBlank="1" showInputMessage="1" showErrorMessage="1" promptTitle="Spacing between elevations" prompt="Spacing between this elevation and the one below. Give either the Z-elevation or the spacings between the horizontal frames, not both." sqref="D31"/>
    <dataValidation type="decimal" allowBlank="1" showInputMessage="1" showErrorMessage="1" sqref="P1">
      <formula1>-1000</formula1>
      <formula2>10000</formula2>
    </dataValidation>
    <dataValidation type="whole" allowBlank="1" showInputMessage="1" showErrorMessage="1" sqref="Q1">
      <formula1>5</formula1>
      <formula2>10</formula2>
    </dataValidation>
    <dataValidation allowBlank="1" showInputMessage="1" showErrorMessage="1" promptTitle="Y-coordinate at bottom of leg" prompt="Distance in Y direction from datum point to bottom of leg. Give either the Y-coordinate or the spacings between the legs, not both._x000a_Number shown in ( ) is resulting Y-coordinate._x000a_" sqref="E46 G46 I46 K46 M46 O46 Q46 S46 U46 W46 Y46 AA46 AC46 AE46 AK46:BN46"/>
    <dataValidation allowBlank="1" showInputMessage="1" showErrorMessage="1" promptTitle="X-coordinate at bottom of leg" prompt="Distance in X direction from datum point to bottom of leg. Give either the X-coordinate or the spacings between the legs, not both._x000a_Number shown in ( ) is resulting X-coordinate." sqref="G22 I22 K22 M22 E22 Q22 S22 U22 W22 Y22 AA22 AC22 AE22 O22"/>
    <dataValidation allowBlank="1" showInputMessage="1" showErrorMessage="1" promptTitle="Section for diagonal braces" prompt="The pulldown list of sections is taken from the table on the General sheet. Add relevant sections to this table" sqref="B63:B64 B60"/>
    <dataValidation allowBlank="1" showInputMessage="1" showErrorMessage="1" promptTitle="Section for horizontal braces" prompt="The pulldown list of sections is taken from the table on the General sheet. Add relevant sections to this table" sqref="B61:B62"/>
    <dataValidation allowBlank="1" showInputMessage="1" showErrorMessage="1" promptTitle="Cross section for legs" prompt="The pulldown list of sections is taken from the table on the General sheet. Add relevant sections to this table" sqref="B59"/>
    <dataValidation allowBlank="1" showInputMessage="1" showErrorMessage="1" promptTitle="Material properties" prompt="The pulldown list of materials is taken from the table on the General sheet. Add relevant materials to this table" sqref="B55:B56"/>
    <dataValidation type="custom" allowBlank="1" showInputMessage="1" showErrorMessage="1" errorTitle="Elevation_spacing" error="Enter the elevation or the spacing between elevations and leave the other cell blank._x000a_" sqref="C12 C8 C10 C14:C18">
      <formula1>(D9="")</formula1>
    </dataValidation>
    <dataValidation type="custom" allowBlank="1" showInputMessage="1" showErrorMessage="1" errorTitle="Elevation_spacing" error="Enter the elevation or the spacing between elevations and leave the other cell blank._x000a_" sqref="D19 D17 D15 D13 D9 D11">
      <formula1>(C8="")</formula1>
    </dataValidation>
    <dataValidation type="custom" allowBlank="1" showInputMessage="1" showErrorMessage="1" errorTitle="Coord_spacing" error="Enter the leg coordinate or the spacing between legs and leave the other cell blank._x000a_" sqref="AA25 AC25 AE25 G25 I25 K25 M25 O25 Q25 S25 U25 W25 Y25">
      <formula1>(F26="")</formula1>
    </dataValidation>
    <dataValidation type="custom" allowBlank="1" showInputMessage="1" showErrorMessage="1" errorTitle="Coord_spacing" error="Enter the leg coordinate or the spacing between legs and leave the other cell blank._x000a_" sqref="F50 H50 J50 L50 N50 P50 R50 T50 V50 X50 Z50 AB50 AD50">
      <formula1>(G49="")</formula1>
    </dataValidation>
    <dataValidation allowBlank="1" showInputMessage="1" showErrorMessage="1" errorTitle="Coord_spacing" error="Enter the leg coordinate or the spacing between legs and leave the other cell blank._x000a_" sqref="E49 G49 I49 K49 M49 O49 Q49 S49 U49 W49 Y49 AA49 AC49 AE49"/>
    <dataValidation allowBlank="1" showInputMessage="1" showErrorMessage="1" promptTitle="Spacing between the legs" prompt="Give either the leg coordinate or the spacing between the legs, not both." sqref="D26"/>
    <dataValidation allowBlank="1" showInputMessage="1" showErrorMessage="1" promptTitle="Top coordinates / leg batter" prompt="Toggels between coordinate in top of leg or leg batter as input" sqref="H3 L2"/>
    <dataValidation allowBlank="1" showInputMessage="1" showErrorMessage="1" errorTitle="Elevation_spacing" error="Enter the elevation or the spacing between elevations and leave the other cell blank._x000a_" sqref="C20:C21"/>
    <dataValidation allowBlank="1" showInputMessage="1" showErrorMessage="1" promptTitle="Braces" prompt="Braces between the legs:_x000a_No for no brace_x000a_X for X-brace_x000a_/  for diagonal up_x000a_\  for diagonal down" sqref="D51 D27"/>
    <dataValidation type="list" allowBlank="1" showInputMessage="1" showErrorMessage="1" sqref="D63:D64 D59:D61 S47 U47 W47 Y47 AA47 AC47 AE47 E47 G47 I47 K47 M47 O47 G23 I23 K23 M23 Q47 O23 Q23 E23 S23 U23 W23 Y23 AA23 AC23 AE23">
      <formula1>$G$116:$G$143</formula1>
    </dataValidation>
    <dataValidation type="list" allowBlank="1" showInputMessage="1" showErrorMessage="1" sqref="D55">
      <formula1>$J$116:$J$128</formula1>
    </dataValidation>
    <dataValidation allowBlank="1" showInputMessage="1" showErrorMessage="1" promptTitle="Z-elevation of the decks" prompt="Give either the Z-elevation or the spacing between the decks, not both." sqref="C7"/>
    <dataValidation allowBlank="1" showInputMessage="1" showErrorMessage="1" promptTitle="Spacing between the decks" prompt="Give either the Z-elevation or the spacing between the decks, not both." sqref="D7"/>
    <dataValidation type="list" allowBlank="1" showInputMessage="1" showErrorMessage="1" sqref="D72">
      <formula1>$N$116:$N$120</formula1>
    </dataValidation>
    <dataValidation type="list" allowBlank="1" showInputMessage="1" showErrorMessage="1" sqref="D73">
      <formula1>$R$116:$R$119</formula1>
    </dataValidation>
    <dataValidation type="list" allowBlank="1" showInputMessage="1" showErrorMessage="1" sqref="D74">
      <formula1>$V$116:$V$117</formula1>
    </dataValidation>
    <dataValidation type="custom" allowBlank="1" showInputMessage="1" showErrorMessage="1" errorTitle="Elevation_spacing" error="Enter the elevation or the spacing between elevations and leave the other cell blank._x000a_" sqref="D21">
      <formula1>(#REF!="")</formula1>
    </dataValidation>
    <dataValidation type="list" allowBlank="1" showInputMessage="1" showErrorMessage="1" sqref="F51 H51 J51 L51 X51 Z51 AB51 AD51 V51 N51 P51 R51 T51 F27:V27 X27:AE27">
      <formula1>$E$116:$E$120</formula1>
    </dataValidation>
    <dataValidation type="list" allowBlank="1" showInputMessage="1" showErrorMessage="1" sqref="E48:AF48 E24:AF24">
      <formula1>$Y$116:$Y$117</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10251" r:id="rId4" name="HelpButton">
          <controlPr defaultSize="0" autoLine="0" autoPict="0" r:id="rId5">
            <anchor moveWithCells="1">
              <from>
                <xdr:col>21</xdr:col>
                <xdr:colOff>133350</xdr:colOff>
                <xdr:row>1</xdr:row>
                <xdr:rowOff>57150</xdr:rowOff>
              </from>
              <to>
                <xdr:col>30</xdr:col>
                <xdr:colOff>209550</xdr:colOff>
                <xdr:row>5</xdr:row>
                <xdr:rowOff>76200</xdr:rowOff>
              </to>
            </anchor>
          </controlPr>
        </control>
      </mc:Choice>
      <mc:Fallback>
        <control shapeId="10251" r:id="rId4" name="HelpButton"/>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3:I416"/>
  <sheetViews>
    <sheetView showRowColHeaders="0" topLeftCell="A4" workbookViewId="0">
      <selection activeCell="C4" sqref="C4"/>
    </sheetView>
  </sheetViews>
  <sheetFormatPr defaultRowHeight="12.75" x14ac:dyDescent="0.2"/>
  <cols>
    <col min="1" max="1" width="6.140625" style="35" customWidth="1"/>
    <col min="2" max="2" width="10" style="35" bestFit="1" customWidth="1"/>
    <col min="3" max="3" width="52.5703125" style="35" customWidth="1"/>
    <col min="4" max="4" width="9.140625" style="35"/>
    <col min="5" max="5" width="10.85546875" style="35" bestFit="1" customWidth="1"/>
    <col min="6" max="6" width="10.7109375" style="35" bestFit="1" customWidth="1"/>
    <col min="7" max="7" width="10.5703125" style="35" customWidth="1"/>
    <col min="8" max="16384" width="9.140625" style="35"/>
  </cols>
  <sheetData>
    <row r="3" spans="2:3" ht="15" x14ac:dyDescent="0.2">
      <c r="C3" s="65" t="s">
        <v>303</v>
      </c>
    </row>
    <row r="4" spans="2:3" x14ac:dyDescent="0.2">
      <c r="C4" s="64" t="s">
        <v>612</v>
      </c>
    </row>
    <row r="7" spans="2:3" s="56" customFormat="1" ht="15.75" x14ac:dyDescent="0.25">
      <c r="C7" s="57" t="s">
        <v>298</v>
      </c>
    </row>
    <row r="10" spans="2:3" x14ac:dyDescent="0.2">
      <c r="B10" s="43" t="s">
        <v>78</v>
      </c>
      <c r="C10" s="44" t="s">
        <v>42</v>
      </c>
    </row>
    <row r="11" spans="2:3" x14ac:dyDescent="0.2">
      <c r="B11" s="41" t="s">
        <v>515</v>
      </c>
      <c r="C11" s="67" t="s">
        <v>386</v>
      </c>
    </row>
    <row r="12" spans="2:3" x14ac:dyDescent="0.2">
      <c r="B12" s="41" t="s">
        <v>355</v>
      </c>
      <c r="C12" s="41" t="s">
        <v>356</v>
      </c>
    </row>
    <row r="13" spans="2:3" x14ac:dyDescent="0.2">
      <c r="B13" s="41" t="s">
        <v>361</v>
      </c>
      <c r="C13" s="41" t="s">
        <v>357</v>
      </c>
    </row>
    <row r="14" spans="2:3" x14ac:dyDescent="0.2">
      <c r="B14" s="41" t="s">
        <v>362</v>
      </c>
      <c r="C14" s="41" t="s">
        <v>358</v>
      </c>
    </row>
    <row r="15" spans="2:3" x14ac:dyDescent="0.2">
      <c r="B15" s="41" t="s">
        <v>363</v>
      </c>
      <c r="C15" s="41" t="s">
        <v>359</v>
      </c>
    </row>
    <row r="16" spans="2:3" x14ac:dyDescent="0.2">
      <c r="B16" s="41" t="s">
        <v>364</v>
      </c>
      <c r="C16" s="41" t="s">
        <v>360</v>
      </c>
    </row>
    <row r="17" spans="2:3" x14ac:dyDescent="0.2">
      <c r="B17" s="41" t="s">
        <v>365</v>
      </c>
      <c r="C17" s="41" t="s">
        <v>367</v>
      </c>
    </row>
    <row r="18" spans="2:3" x14ac:dyDescent="0.2">
      <c r="B18" s="41" t="s">
        <v>366</v>
      </c>
      <c r="C18" s="41" t="s">
        <v>369</v>
      </c>
    </row>
    <row r="19" spans="2:3" x14ac:dyDescent="0.2">
      <c r="B19" s="41" t="s">
        <v>371</v>
      </c>
      <c r="C19" s="41" t="s">
        <v>372</v>
      </c>
    </row>
    <row r="20" spans="2:3" x14ac:dyDescent="0.2">
      <c r="B20" s="41" t="s">
        <v>368</v>
      </c>
      <c r="C20" s="41" t="s">
        <v>370</v>
      </c>
    </row>
    <row r="21" spans="2:3" x14ac:dyDescent="0.2">
      <c r="B21" s="67" t="s">
        <v>34</v>
      </c>
      <c r="C21" s="67" t="s">
        <v>34</v>
      </c>
    </row>
    <row r="22" spans="2:3" x14ac:dyDescent="0.2">
      <c r="B22" s="41" t="s">
        <v>350</v>
      </c>
      <c r="C22" s="41" t="s">
        <v>378</v>
      </c>
    </row>
    <row r="23" spans="2:3" x14ac:dyDescent="0.2">
      <c r="B23" s="41" t="s">
        <v>351</v>
      </c>
      <c r="C23" s="41" t="s">
        <v>379</v>
      </c>
    </row>
    <row r="24" spans="2:3" x14ac:dyDescent="0.2">
      <c r="B24" s="41" t="s">
        <v>352</v>
      </c>
      <c r="C24" s="41" t="s">
        <v>380</v>
      </c>
    </row>
    <row r="25" spans="2:3" x14ac:dyDescent="0.2">
      <c r="B25" s="41" t="s">
        <v>353</v>
      </c>
      <c r="C25" s="41" t="s">
        <v>381</v>
      </c>
    </row>
    <row r="26" spans="2:3" x14ac:dyDescent="0.2">
      <c r="B26" s="41" t="s">
        <v>354</v>
      </c>
      <c r="C26" s="41" t="s">
        <v>382</v>
      </c>
    </row>
    <row r="27" spans="2:3" x14ac:dyDescent="0.2">
      <c r="B27" s="41" t="s">
        <v>348</v>
      </c>
      <c r="C27" s="41" t="s">
        <v>349</v>
      </c>
    </row>
    <row r="28" spans="2:3" x14ac:dyDescent="0.2">
      <c r="B28" s="67" t="s">
        <v>34</v>
      </c>
      <c r="C28" s="67" t="s">
        <v>34</v>
      </c>
    </row>
    <row r="29" spans="2:3" x14ac:dyDescent="0.2">
      <c r="B29" s="41" t="s">
        <v>570</v>
      </c>
      <c r="C29" s="41" t="s">
        <v>571</v>
      </c>
    </row>
    <row r="30" spans="2:3" x14ac:dyDescent="0.2">
      <c r="B30" s="41" t="s">
        <v>572</v>
      </c>
      <c r="C30" s="41" t="s">
        <v>573</v>
      </c>
    </row>
    <row r="31" spans="2:3" x14ac:dyDescent="0.2">
      <c r="B31" s="41" t="s">
        <v>574</v>
      </c>
      <c r="C31" s="41" t="s">
        <v>575</v>
      </c>
    </row>
    <row r="32" spans="2:3" x14ac:dyDescent="0.2">
      <c r="B32" s="41"/>
      <c r="C32" s="41"/>
    </row>
    <row r="33" spans="2:3" x14ac:dyDescent="0.2">
      <c r="B33" s="41"/>
      <c r="C33" s="41"/>
    </row>
    <row r="34" spans="2:3" x14ac:dyDescent="0.2">
      <c r="B34" s="41"/>
      <c r="C34" s="41"/>
    </row>
    <row r="35" spans="2:3" x14ac:dyDescent="0.2">
      <c r="B35" s="41"/>
      <c r="C35" s="41"/>
    </row>
    <row r="36" spans="2:3" x14ac:dyDescent="0.2">
      <c r="B36" s="41"/>
      <c r="C36" s="41"/>
    </row>
    <row r="37" spans="2:3" x14ac:dyDescent="0.2">
      <c r="B37" s="42"/>
      <c r="C37" s="42"/>
    </row>
    <row r="41" spans="2:3" x14ac:dyDescent="0.2">
      <c r="B41" s="44" t="s">
        <v>78</v>
      </c>
      <c r="C41" s="44" t="s">
        <v>43</v>
      </c>
    </row>
    <row r="42" spans="2:3" x14ac:dyDescent="0.2">
      <c r="B42" s="50" t="s">
        <v>373</v>
      </c>
      <c r="C42" s="41" t="s">
        <v>375</v>
      </c>
    </row>
    <row r="43" spans="2:3" x14ac:dyDescent="0.2">
      <c r="B43" s="41" t="s">
        <v>79</v>
      </c>
      <c r="C43" s="41" t="s">
        <v>376</v>
      </c>
    </row>
    <row r="44" spans="2:3" x14ac:dyDescent="0.2">
      <c r="B44" s="41" t="s">
        <v>374</v>
      </c>
      <c r="C44" s="41" t="s">
        <v>377</v>
      </c>
    </row>
    <row r="45" spans="2:3" ht="13.5" customHeight="1" x14ac:dyDescent="0.2">
      <c r="B45" s="41"/>
      <c r="C45" s="41"/>
    </row>
    <row r="46" spans="2:3" ht="13.5" customHeight="1" x14ac:dyDescent="0.2">
      <c r="B46" s="41"/>
      <c r="C46" s="41"/>
    </row>
    <row r="47" spans="2:3" ht="13.5" customHeight="1" x14ac:dyDescent="0.2">
      <c r="B47" s="41"/>
      <c r="C47" s="41"/>
    </row>
    <row r="48" spans="2:3" ht="13.5" customHeight="1" x14ac:dyDescent="0.2">
      <c r="B48" s="41"/>
      <c r="C48" s="41"/>
    </row>
    <row r="49" spans="2:8" ht="13.5" customHeight="1" x14ac:dyDescent="0.2">
      <c r="B49" s="41"/>
      <c r="C49" s="41"/>
    </row>
    <row r="50" spans="2:8" ht="13.5" customHeight="1" x14ac:dyDescent="0.2">
      <c r="B50" s="41"/>
      <c r="C50" s="41"/>
    </row>
    <row r="51" spans="2:8" ht="13.5" customHeight="1" x14ac:dyDescent="0.2">
      <c r="B51" s="41"/>
      <c r="C51" s="41"/>
    </row>
    <row r="52" spans="2:8" ht="13.5" customHeight="1" x14ac:dyDescent="0.2">
      <c r="B52" s="41"/>
      <c r="C52" s="41"/>
    </row>
    <row r="53" spans="2:8" ht="13.5" customHeight="1" x14ac:dyDescent="0.2">
      <c r="B53" s="41"/>
      <c r="C53" s="41"/>
    </row>
    <row r="54" spans="2:8" ht="13.5" customHeight="1" x14ac:dyDescent="0.2">
      <c r="B54" s="41"/>
      <c r="C54" s="41"/>
    </row>
    <row r="55" spans="2:8" ht="13.5" customHeight="1" x14ac:dyDescent="0.2">
      <c r="B55" s="41"/>
      <c r="C55" s="41"/>
    </row>
    <row r="56" spans="2:8" ht="13.5" customHeight="1" x14ac:dyDescent="0.2">
      <c r="B56" s="41"/>
      <c r="C56" s="41"/>
    </row>
    <row r="57" spans="2:8" x14ac:dyDescent="0.2">
      <c r="B57" s="41"/>
      <c r="C57" s="41"/>
    </row>
    <row r="58" spans="2:8" x14ac:dyDescent="0.2">
      <c r="B58" s="41"/>
      <c r="C58" s="41"/>
    </row>
    <row r="59" spans="2:8" x14ac:dyDescent="0.2">
      <c r="B59" s="42"/>
      <c r="C59" s="42"/>
    </row>
    <row r="61" spans="2:8" ht="12.75" customHeight="1" thickBot="1" x14ac:dyDescent="0.25">
      <c r="B61" s="45"/>
      <c r="C61" s="55" t="s">
        <v>139</v>
      </c>
      <c r="D61" s="45"/>
      <c r="E61" s="45"/>
      <c r="F61" s="45"/>
      <c r="G61" s="45"/>
      <c r="H61" s="45"/>
    </row>
    <row r="62" spans="2:8" ht="12.75" customHeight="1" x14ac:dyDescent="0.2">
      <c r="B62" s="45"/>
      <c r="C62" s="45" t="s">
        <v>183</v>
      </c>
      <c r="D62" s="45"/>
      <c r="E62" s="45"/>
      <c r="F62" s="45"/>
      <c r="G62" s="45"/>
      <c r="H62" s="45"/>
    </row>
    <row r="63" spans="2:8" ht="12.75" customHeight="1" x14ac:dyDescent="0.2">
      <c r="B63" s="45"/>
      <c r="C63" s="45" t="s">
        <v>292</v>
      </c>
      <c r="D63" s="45"/>
      <c r="E63" s="45"/>
      <c r="F63" s="45"/>
      <c r="G63" s="45"/>
      <c r="H63" s="45"/>
    </row>
    <row r="64" spans="2:8" ht="12.75" customHeight="1" x14ac:dyDescent="0.2">
      <c r="B64" s="45"/>
      <c r="C64" s="45" t="s">
        <v>293</v>
      </c>
      <c r="D64" s="45"/>
      <c r="E64" s="45"/>
      <c r="F64" s="45"/>
      <c r="G64" s="45"/>
      <c r="H64" s="45"/>
    </row>
    <row r="65" spans="2:9" ht="12.75" customHeight="1" x14ac:dyDescent="0.2">
      <c r="B65" s="45"/>
      <c r="C65" s="45" t="s">
        <v>294</v>
      </c>
      <c r="D65" s="45"/>
      <c r="E65" s="45"/>
      <c r="F65" s="45"/>
      <c r="G65" s="45"/>
      <c r="H65" s="45"/>
    </row>
    <row r="66" spans="2:9" ht="12.75" customHeight="1" x14ac:dyDescent="0.2">
      <c r="B66" s="45"/>
      <c r="C66" s="45" t="s">
        <v>295</v>
      </c>
      <c r="D66" s="45"/>
      <c r="E66" s="45"/>
      <c r="F66" s="143" t="s">
        <v>299</v>
      </c>
      <c r="G66" s="144"/>
      <c r="H66" s="45"/>
    </row>
    <row r="67" spans="2:9" ht="12.75" customHeight="1" x14ac:dyDescent="0.2">
      <c r="B67" s="45"/>
      <c r="C67" s="45" t="s">
        <v>296</v>
      </c>
      <c r="D67" s="45"/>
      <c r="E67" s="45"/>
      <c r="F67" s="143" t="s">
        <v>300</v>
      </c>
      <c r="G67" s="144"/>
      <c r="H67" s="45"/>
    </row>
    <row r="68" spans="2:9" ht="12.75" customHeight="1" x14ac:dyDescent="0.2">
      <c r="B68" s="45"/>
      <c r="C68" s="45" t="s">
        <v>297</v>
      </c>
      <c r="D68" s="45"/>
      <c r="E68" s="45"/>
      <c r="F68" s="45"/>
      <c r="G68" s="45"/>
      <c r="H68" s="45"/>
    </row>
    <row r="69" spans="2:9" ht="12.75" customHeight="1" x14ac:dyDescent="0.2">
      <c r="B69" s="45"/>
      <c r="C69" s="45"/>
      <c r="D69" s="45"/>
      <c r="E69" s="45"/>
      <c r="F69" s="45"/>
      <c r="G69" s="45"/>
      <c r="H69" s="45"/>
    </row>
    <row r="70" spans="2:9" x14ac:dyDescent="0.2">
      <c r="B70" s="45"/>
      <c r="C70" s="45"/>
      <c r="D70" s="145" t="s">
        <v>291</v>
      </c>
      <c r="E70" s="146"/>
      <c r="F70" s="146"/>
      <c r="G70" s="146"/>
      <c r="H70" s="146"/>
      <c r="I70" s="36"/>
    </row>
    <row r="71" spans="2:9" x14ac:dyDescent="0.2">
      <c r="B71" s="45"/>
      <c r="C71" s="46" t="s">
        <v>184</v>
      </c>
      <c r="D71" s="44" t="s">
        <v>182</v>
      </c>
      <c r="E71" s="44" t="s">
        <v>141</v>
      </c>
      <c r="F71" s="44" t="s">
        <v>142</v>
      </c>
      <c r="G71" s="44" t="s">
        <v>143</v>
      </c>
      <c r="H71" s="47"/>
      <c r="I71" s="36"/>
    </row>
    <row r="72" spans="2:9" x14ac:dyDescent="0.2">
      <c r="B72" s="45"/>
      <c r="C72" s="51" t="s">
        <v>140</v>
      </c>
      <c r="D72" s="48" t="s">
        <v>329</v>
      </c>
      <c r="E72" s="82" t="s">
        <v>388</v>
      </c>
      <c r="F72" s="48" t="s">
        <v>394</v>
      </c>
      <c r="G72" s="48">
        <v>1</v>
      </c>
      <c r="H72" s="47"/>
      <c r="I72" s="36"/>
    </row>
    <row r="73" spans="2:9" x14ac:dyDescent="0.2">
      <c r="B73" s="45"/>
      <c r="C73" s="52" t="s">
        <v>457</v>
      </c>
      <c r="D73" s="48" t="s">
        <v>502</v>
      </c>
      <c r="E73" s="49" t="s">
        <v>389</v>
      </c>
      <c r="F73" s="48" t="s">
        <v>395</v>
      </c>
      <c r="G73" s="49">
        <v>2</v>
      </c>
      <c r="H73" s="47"/>
      <c r="I73" s="36"/>
    </row>
    <row r="74" spans="2:9" x14ac:dyDescent="0.2">
      <c r="B74" s="45"/>
      <c r="C74" s="52" t="s">
        <v>566</v>
      </c>
      <c r="D74" s="48" t="s">
        <v>568</v>
      </c>
      <c r="E74" s="82" t="s">
        <v>390</v>
      </c>
      <c r="F74" s="48" t="s">
        <v>396</v>
      </c>
      <c r="G74" s="49">
        <v>3</v>
      </c>
      <c r="H74" s="47"/>
      <c r="I74" s="36"/>
    </row>
    <row r="75" spans="2:9" x14ac:dyDescent="0.2">
      <c r="B75" s="45"/>
      <c r="C75" s="52" t="s">
        <v>567</v>
      </c>
      <c r="D75" s="48" t="s">
        <v>569</v>
      </c>
      <c r="E75" s="49" t="s">
        <v>391</v>
      </c>
      <c r="F75" s="48" t="s">
        <v>308</v>
      </c>
      <c r="G75" s="49">
        <v>4</v>
      </c>
      <c r="H75" s="47"/>
      <c r="I75" s="36"/>
    </row>
    <row r="76" spans="2:9" x14ac:dyDescent="0.2">
      <c r="B76" s="45"/>
      <c r="C76" s="52" t="s">
        <v>214</v>
      </c>
      <c r="D76" s="48" t="s">
        <v>304</v>
      </c>
      <c r="E76" s="82" t="s">
        <v>392</v>
      </c>
      <c r="F76" s="48" t="s">
        <v>309</v>
      </c>
      <c r="G76" s="49">
        <v>5</v>
      </c>
      <c r="H76" s="47"/>
      <c r="I76" s="36"/>
    </row>
    <row r="77" spans="2:9" x14ac:dyDescent="0.2">
      <c r="B77" s="45"/>
      <c r="C77" s="52" t="s">
        <v>215</v>
      </c>
      <c r="D77" s="48" t="s">
        <v>305</v>
      </c>
      <c r="E77" s="49" t="s">
        <v>393</v>
      </c>
      <c r="F77" s="48" t="s">
        <v>310</v>
      </c>
      <c r="G77" s="49">
        <v>6</v>
      </c>
      <c r="H77" s="47"/>
      <c r="I77" s="36"/>
    </row>
    <row r="78" spans="2:9" x14ac:dyDescent="0.2">
      <c r="B78" s="45"/>
      <c r="C78" s="52" t="s">
        <v>216</v>
      </c>
      <c r="D78" s="48" t="s">
        <v>306</v>
      </c>
      <c r="E78" s="82" t="s">
        <v>503</v>
      </c>
      <c r="F78" s="48" t="s">
        <v>397</v>
      </c>
      <c r="G78" s="49">
        <v>7</v>
      </c>
      <c r="H78" s="47"/>
      <c r="I78" s="36"/>
    </row>
    <row r="79" spans="2:9" x14ac:dyDescent="0.2">
      <c r="B79" s="45"/>
      <c r="C79" s="52" t="s">
        <v>217</v>
      </c>
      <c r="D79" s="48" t="s">
        <v>307</v>
      </c>
      <c r="E79" s="49" t="s">
        <v>504</v>
      </c>
      <c r="F79" s="48" t="s">
        <v>311</v>
      </c>
      <c r="G79" s="49">
        <v>8</v>
      </c>
      <c r="H79" s="47"/>
      <c r="I79" s="36"/>
    </row>
    <row r="80" spans="2:9" x14ac:dyDescent="0.2">
      <c r="B80" s="45"/>
      <c r="C80" s="53"/>
      <c r="D80" s="48"/>
      <c r="E80" s="82" t="s">
        <v>505</v>
      </c>
      <c r="F80" s="48" t="s">
        <v>312</v>
      </c>
      <c r="G80" s="49">
        <v>9</v>
      </c>
      <c r="H80" s="47"/>
      <c r="I80" s="36"/>
    </row>
    <row r="81" spans="2:9" x14ac:dyDescent="0.2">
      <c r="B81" s="45"/>
      <c r="C81" s="53"/>
      <c r="D81" s="48"/>
      <c r="E81" s="49">
        <v>10</v>
      </c>
      <c r="F81" s="48" t="s">
        <v>313</v>
      </c>
      <c r="G81" s="49" t="s">
        <v>145</v>
      </c>
      <c r="H81" s="47"/>
      <c r="I81" s="36"/>
    </row>
    <row r="82" spans="2:9" x14ac:dyDescent="0.2">
      <c r="B82" s="45"/>
      <c r="C82" s="53"/>
      <c r="D82" s="48"/>
      <c r="E82" s="49" t="s">
        <v>146</v>
      </c>
      <c r="F82" s="48" t="s">
        <v>70</v>
      </c>
      <c r="G82" s="49" t="s">
        <v>146</v>
      </c>
      <c r="H82" s="47"/>
      <c r="I82" s="36"/>
    </row>
    <row r="83" spans="2:9" x14ac:dyDescent="0.2">
      <c r="B83" s="45"/>
      <c r="C83" s="53"/>
      <c r="D83" s="48"/>
      <c r="E83" s="49" t="s">
        <v>147</v>
      </c>
      <c r="F83" s="49" t="s">
        <v>314</v>
      </c>
      <c r="G83" s="49" t="s">
        <v>147</v>
      </c>
      <c r="H83" s="47"/>
      <c r="I83" s="36"/>
    </row>
    <row r="84" spans="2:9" x14ac:dyDescent="0.2">
      <c r="B84" s="45"/>
      <c r="C84" s="53"/>
      <c r="D84" s="48"/>
      <c r="E84" s="49" t="s">
        <v>148</v>
      </c>
      <c r="F84" s="48" t="s">
        <v>315</v>
      </c>
      <c r="G84" s="49" t="s">
        <v>148</v>
      </c>
      <c r="H84" s="47"/>
      <c r="I84" s="36"/>
    </row>
    <row r="85" spans="2:9" x14ac:dyDescent="0.2">
      <c r="B85" s="45"/>
      <c r="C85" s="53"/>
      <c r="D85" s="48"/>
      <c r="E85" s="49" t="s">
        <v>149</v>
      </c>
      <c r="F85" s="48" t="s">
        <v>285</v>
      </c>
      <c r="G85" s="49" t="s">
        <v>149</v>
      </c>
      <c r="H85" s="47"/>
      <c r="I85" s="36"/>
    </row>
    <row r="86" spans="2:9" x14ac:dyDescent="0.2">
      <c r="B86" s="45"/>
      <c r="C86" s="53"/>
      <c r="D86" s="48"/>
      <c r="E86" s="49" t="s">
        <v>150</v>
      </c>
      <c r="F86" s="48" t="s">
        <v>330</v>
      </c>
      <c r="G86" s="49" t="s">
        <v>150</v>
      </c>
      <c r="H86" s="47"/>
      <c r="I86" s="36"/>
    </row>
    <row r="87" spans="2:9" x14ac:dyDescent="0.2">
      <c r="B87" s="45"/>
      <c r="C87" s="53"/>
      <c r="D87" s="48"/>
      <c r="E87" s="49" t="s">
        <v>151</v>
      </c>
      <c r="F87" s="48" t="s">
        <v>331</v>
      </c>
      <c r="G87" s="49" t="s">
        <v>151</v>
      </c>
      <c r="H87" s="47"/>
      <c r="I87" s="36"/>
    </row>
    <row r="88" spans="2:9" x14ac:dyDescent="0.2">
      <c r="B88" s="45"/>
      <c r="C88" s="53"/>
      <c r="D88" s="48"/>
      <c r="E88" s="49" t="s">
        <v>152</v>
      </c>
      <c r="F88" s="48" t="s">
        <v>332</v>
      </c>
      <c r="G88" s="49" t="s">
        <v>152</v>
      </c>
      <c r="H88" s="47"/>
      <c r="I88" s="36"/>
    </row>
    <row r="89" spans="2:9" x14ac:dyDescent="0.2">
      <c r="B89" s="45"/>
      <c r="C89" s="53"/>
      <c r="D89" s="48"/>
      <c r="E89" s="49" t="s">
        <v>153</v>
      </c>
      <c r="F89" s="48" t="s">
        <v>333</v>
      </c>
      <c r="G89" s="49" t="s">
        <v>153</v>
      </c>
      <c r="H89" s="47"/>
      <c r="I89" s="36"/>
    </row>
    <row r="90" spans="2:9" x14ac:dyDescent="0.2">
      <c r="B90" s="45"/>
      <c r="C90" s="53"/>
      <c r="D90" s="48"/>
      <c r="E90" s="49" t="s">
        <v>154</v>
      </c>
      <c r="F90" s="48" t="s">
        <v>334</v>
      </c>
      <c r="G90" s="49" t="s">
        <v>154</v>
      </c>
      <c r="H90" s="47"/>
      <c r="I90" s="36"/>
    </row>
    <row r="91" spans="2:9" x14ac:dyDescent="0.2">
      <c r="B91" s="45"/>
      <c r="C91" s="53"/>
      <c r="D91" s="48"/>
      <c r="E91" s="49" t="s">
        <v>155</v>
      </c>
      <c r="F91" s="48" t="s">
        <v>335</v>
      </c>
      <c r="G91" s="49" t="s">
        <v>155</v>
      </c>
      <c r="H91" s="47"/>
      <c r="I91" s="36"/>
    </row>
    <row r="92" spans="2:9" x14ac:dyDescent="0.2">
      <c r="B92" s="45"/>
      <c r="C92" s="53"/>
      <c r="D92" s="48"/>
      <c r="E92" s="49" t="s">
        <v>156</v>
      </c>
      <c r="F92" s="48" t="s">
        <v>336</v>
      </c>
      <c r="G92" s="49" t="s">
        <v>156</v>
      </c>
      <c r="H92" s="47"/>
      <c r="I92" s="36"/>
    </row>
    <row r="93" spans="2:9" x14ac:dyDescent="0.2">
      <c r="B93" s="45"/>
      <c r="C93" s="53"/>
      <c r="D93" s="48"/>
      <c r="E93" s="49" t="s">
        <v>157</v>
      </c>
      <c r="F93" s="48" t="s">
        <v>337</v>
      </c>
      <c r="G93" s="49" t="s">
        <v>157</v>
      </c>
      <c r="H93" s="47"/>
      <c r="I93" s="36"/>
    </row>
    <row r="94" spans="2:9" x14ac:dyDescent="0.2">
      <c r="B94" s="45"/>
      <c r="C94" s="53"/>
      <c r="D94" s="48"/>
      <c r="E94" s="49" t="s">
        <v>158</v>
      </c>
      <c r="F94" s="48" t="s">
        <v>338</v>
      </c>
      <c r="G94" s="49" t="s">
        <v>158</v>
      </c>
      <c r="H94" s="47"/>
      <c r="I94" s="36"/>
    </row>
    <row r="95" spans="2:9" x14ac:dyDescent="0.2">
      <c r="B95" s="45"/>
      <c r="C95" s="53"/>
      <c r="D95" s="48"/>
      <c r="E95" s="49" t="s">
        <v>159</v>
      </c>
      <c r="F95" s="48" t="s">
        <v>339</v>
      </c>
      <c r="G95" s="49" t="s">
        <v>159</v>
      </c>
      <c r="H95" s="47"/>
      <c r="I95" s="36"/>
    </row>
    <row r="96" spans="2:9" x14ac:dyDescent="0.2">
      <c r="B96" s="45"/>
      <c r="C96" s="53"/>
      <c r="D96" s="48"/>
      <c r="E96" s="49" t="s">
        <v>160</v>
      </c>
      <c r="F96" s="48" t="s">
        <v>0</v>
      </c>
      <c r="G96" s="49" t="s">
        <v>160</v>
      </c>
      <c r="H96" s="47"/>
      <c r="I96" s="36"/>
    </row>
    <row r="97" spans="2:9" x14ac:dyDescent="0.2">
      <c r="B97" s="45"/>
      <c r="C97" s="53"/>
      <c r="D97" s="48"/>
      <c r="E97" s="49" t="s">
        <v>161</v>
      </c>
      <c r="F97" s="48" t="s">
        <v>340</v>
      </c>
      <c r="G97" s="49" t="s">
        <v>161</v>
      </c>
      <c r="H97" s="47"/>
      <c r="I97" s="36"/>
    </row>
    <row r="98" spans="2:9" x14ac:dyDescent="0.2">
      <c r="B98" s="45"/>
      <c r="C98" s="53"/>
      <c r="D98" s="48"/>
      <c r="E98" s="49" t="s">
        <v>162</v>
      </c>
      <c r="F98" s="48" t="s">
        <v>144</v>
      </c>
      <c r="G98" s="49" t="s">
        <v>162</v>
      </c>
      <c r="H98" s="47"/>
      <c r="I98" s="36"/>
    </row>
    <row r="99" spans="2:9" x14ac:dyDescent="0.2">
      <c r="B99" s="45"/>
      <c r="C99" s="53"/>
      <c r="D99" s="48"/>
      <c r="E99" s="49" t="s">
        <v>163</v>
      </c>
      <c r="F99" s="48" t="s">
        <v>189</v>
      </c>
      <c r="G99" s="49" t="s">
        <v>163</v>
      </c>
      <c r="H99" s="47"/>
      <c r="I99" s="36"/>
    </row>
    <row r="100" spans="2:9" x14ac:dyDescent="0.2">
      <c r="B100" s="45"/>
      <c r="C100" s="53"/>
      <c r="D100" s="48"/>
      <c r="E100" s="49" t="s">
        <v>164</v>
      </c>
      <c r="F100" s="48" t="s">
        <v>190</v>
      </c>
      <c r="G100" s="49" t="s">
        <v>164</v>
      </c>
      <c r="H100" s="47"/>
      <c r="I100" s="36"/>
    </row>
    <row r="101" spans="2:9" x14ac:dyDescent="0.2">
      <c r="B101" s="45"/>
      <c r="C101" s="53"/>
      <c r="D101" s="48"/>
      <c r="E101" s="49" t="s">
        <v>165</v>
      </c>
      <c r="F101" s="48" t="s">
        <v>191</v>
      </c>
      <c r="G101" s="49" t="s">
        <v>165</v>
      </c>
      <c r="H101" s="47"/>
      <c r="I101" s="36"/>
    </row>
    <row r="102" spans="2:9" x14ac:dyDescent="0.2">
      <c r="B102" s="45"/>
      <c r="C102" s="53"/>
      <c r="D102" s="48"/>
      <c r="E102" s="49" t="s">
        <v>166</v>
      </c>
      <c r="F102" s="48" t="s">
        <v>192</v>
      </c>
      <c r="G102" s="49" t="s">
        <v>166</v>
      </c>
      <c r="H102" s="47"/>
      <c r="I102" s="36"/>
    </row>
    <row r="103" spans="2:9" x14ac:dyDescent="0.2">
      <c r="B103" s="45"/>
      <c r="C103" s="53"/>
      <c r="D103" s="48"/>
      <c r="E103" s="49" t="s">
        <v>167</v>
      </c>
      <c r="F103" s="48" t="s">
        <v>193</v>
      </c>
      <c r="G103" s="49" t="s">
        <v>167</v>
      </c>
      <c r="H103" s="47"/>
      <c r="I103" s="36"/>
    </row>
    <row r="104" spans="2:9" x14ac:dyDescent="0.2">
      <c r="B104" s="45"/>
      <c r="C104" s="53"/>
      <c r="D104" s="48"/>
      <c r="E104" s="49" t="s">
        <v>168</v>
      </c>
      <c r="F104" s="48" t="s">
        <v>194</v>
      </c>
      <c r="G104" s="49" t="s">
        <v>168</v>
      </c>
      <c r="H104" s="47"/>
      <c r="I104" s="36"/>
    </row>
    <row r="105" spans="2:9" x14ac:dyDescent="0.2">
      <c r="B105" s="45"/>
      <c r="C105" s="53"/>
      <c r="D105" s="48"/>
      <c r="E105" s="49" t="s">
        <v>169</v>
      </c>
      <c r="F105" s="48" t="s">
        <v>195</v>
      </c>
      <c r="G105" s="49" t="s">
        <v>169</v>
      </c>
      <c r="H105" s="47"/>
      <c r="I105" s="36"/>
    </row>
    <row r="106" spans="2:9" x14ac:dyDescent="0.2">
      <c r="B106" s="45"/>
      <c r="C106" s="53"/>
      <c r="D106" s="48"/>
      <c r="E106" s="49" t="s">
        <v>170</v>
      </c>
      <c r="F106" s="48" t="s">
        <v>196</v>
      </c>
      <c r="G106" s="49" t="s">
        <v>170</v>
      </c>
      <c r="H106" s="47"/>
      <c r="I106" s="36"/>
    </row>
    <row r="107" spans="2:9" x14ac:dyDescent="0.2">
      <c r="B107" s="45"/>
      <c r="C107" s="53"/>
      <c r="D107" s="48"/>
      <c r="E107" s="49" t="s">
        <v>171</v>
      </c>
      <c r="F107" s="48" t="s">
        <v>197</v>
      </c>
      <c r="G107" s="49" t="s">
        <v>171</v>
      </c>
      <c r="H107" s="47"/>
      <c r="I107" s="36"/>
    </row>
    <row r="108" spans="2:9" x14ac:dyDescent="0.2">
      <c r="B108" s="45"/>
      <c r="C108" s="53"/>
      <c r="D108" s="48"/>
      <c r="E108" s="49" t="s">
        <v>172</v>
      </c>
      <c r="F108" s="48" t="s">
        <v>198</v>
      </c>
      <c r="G108" s="49" t="s">
        <v>172</v>
      </c>
      <c r="H108" s="47"/>
      <c r="I108" s="36"/>
    </row>
    <row r="109" spans="2:9" x14ac:dyDescent="0.2">
      <c r="B109" s="45"/>
      <c r="C109" s="53"/>
      <c r="D109" s="48"/>
      <c r="E109" s="49" t="s">
        <v>173</v>
      </c>
      <c r="F109" s="48" t="s">
        <v>199</v>
      </c>
      <c r="G109" s="49" t="s">
        <v>173</v>
      </c>
      <c r="H109" s="47"/>
      <c r="I109" s="36"/>
    </row>
    <row r="110" spans="2:9" x14ac:dyDescent="0.2">
      <c r="B110" s="45"/>
      <c r="C110" s="53"/>
      <c r="D110" s="48"/>
      <c r="E110" s="49" t="s">
        <v>174</v>
      </c>
      <c r="F110" s="48" t="s">
        <v>200</v>
      </c>
      <c r="G110" s="49" t="s">
        <v>174</v>
      </c>
      <c r="H110" s="47"/>
      <c r="I110" s="36"/>
    </row>
    <row r="111" spans="2:9" x14ac:dyDescent="0.2">
      <c r="B111" s="45"/>
      <c r="C111" s="53"/>
      <c r="D111" s="48"/>
      <c r="E111" s="49" t="s">
        <v>175</v>
      </c>
      <c r="F111" s="48" t="s">
        <v>201</v>
      </c>
      <c r="G111" s="49" t="s">
        <v>175</v>
      </c>
      <c r="H111" s="47"/>
      <c r="I111" s="36"/>
    </row>
    <row r="112" spans="2:9" x14ac:dyDescent="0.2">
      <c r="B112" s="45"/>
      <c r="C112" s="53"/>
      <c r="D112" s="48"/>
      <c r="E112" s="49" t="s">
        <v>176</v>
      </c>
      <c r="F112" s="48" t="s">
        <v>202</v>
      </c>
      <c r="G112" s="49" t="s">
        <v>176</v>
      </c>
      <c r="H112" s="47"/>
      <c r="I112" s="36"/>
    </row>
    <row r="113" spans="2:9" x14ac:dyDescent="0.2">
      <c r="B113" s="45"/>
      <c r="C113" s="53"/>
      <c r="D113" s="48"/>
      <c r="E113" s="49" t="s">
        <v>177</v>
      </c>
      <c r="F113" s="48" t="s">
        <v>203</v>
      </c>
      <c r="G113" s="49" t="s">
        <v>177</v>
      </c>
      <c r="H113" s="47"/>
      <c r="I113" s="36"/>
    </row>
    <row r="114" spans="2:9" x14ac:dyDescent="0.2">
      <c r="B114" s="45"/>
      <c r="C114" s="53"/>
      <c r="D114" s="48"/>
      <c r="E114" s="49" t="s">
        <v>178</v>
      </c>
      <c r="F114" s="48" t="s">
        <v>204</v>
      </c>
      <c r="G114" s="49" t="s">
        <v>178</v>
      </c>
      <c r="H114" s="47"/>
      <c r="I114" s="36"/>
    </row>
    <row r="115" spans="2:9" x14ac:dyDescent="0.2">
      <c r="B115" s="45"/>
      <c r="C115" s="53"/>
      <c r="D115" s="48"/>
      <c r="E115" s="49" t="s">
        <v>179</v>
      </c>
      <c r="F115" s="48" t="s">
        <v>205</v>
      </c>
      <c r="G115" s="49" t="s">
        <v>179</v>
      </c>
      <c r="H115" s="47"/>
      <c r="I115" s="36"/>
    </row>
    <row r="116" spans="2:9" x14ac:dyDescent="0.2">
      <c r="B116" s="45"/>
      <c r="C116" s="53"/>
      <c r="D116" s="48"/>
      <c r="E116" s="49" t="s">
        <v>180</v>
      </c>
      <c r="F116" s="48" t="s">
        <v>206</v>
      </c>
      <c r="G116" s="49" t="s">
        <v>180</v>
      </c>
      <c r="H116" s="47"/>
      <c r="I116" s="36"/>
    </row>
    <row r="117" spans="2:9" x14ac:dyDescent="0.2">
      <c r="B117" s="45"/>
      <c r="C117" s="53"/>
      <c r="D117" s="48"/>
      <c r="E117" s="49" t="s">
        <v>181</v>
      </c>
      <c r="F117" s="48" t="s">
        <v>207</v>
      </c>
      <c r="G117" s="49" t="s">
        <v>181</v>
      </c>
      <c r="H117" s="47"/>
      <c r="I117" s="36"/>
    </row>
    <row r="118" spans="2:9" x14ac:dyDescent="0.2">
      <c r="B118" s="45"/>
      <c r="C118" s="53"/>
      <c r="D118" s="48"/>
      <c r="E118" s="49" t="s">
        <v>185</v>
      </c>
      <c r="F118" s="48" t="s">
        <v>208</v>
      </c>
      <c r="G118" s="49" t="s">
        <v>185</v>
      </c>
      <c r="H118" s="47"/>
      <c r="I118" s="36"/>
    </row>
    <row r="119" spans="2:9" x14ac:dyDescent="0.2">
      <c r="B119" s="45"/>
      <c r="C119" s="53"/>
      <c r="D119" s="41"/>
      <c r="E119" s="49" t="s">
        <v>186</v>
      </c>
      <c r="F119" s="48" t="s">
        <v>209</v>
      </c>
      <c r="G119" s="49" t="s">
        <v>186</v>
      </c>
      <c r="H119" s="47"/>
      <c r="I119" s="36"/>
    </row>
    <row r="120" spans="2:9" x14ac:dyDescent="0.2">
      <c r="B120" s="45"/>
      <c r="C120" s="53"/>
      <c r="D120" s="41"/>
      <c r="E120" s="49" t="s">
        <v>187</v>
      </c>
      <c r="F120" s="48" t="s">
        <v>210</v>
      </c>
      <c r="G120" s="49" t="s">
        <v>187</v>
      </c>
      <c r="H120" s="47"/>
      <c r="I120" s="36"/>
    </row>
    <row r="121" spans="2:9" x14ac:dyDescent="0.2">
      <c r="B121" s="45"/>
      <c r="C121" s="54"/>
      <c r="D121" s="41"/>
      <c r="E121" s="49" t="s">
        <v>188</v>
      </c>
      <c r="F121" s="48" t="s">
        <v>211</v>
      </c>
      <c r="G121" s="49" t="s">
        <v>188</v>
      </c>
      <c r="H121" s="47"/>
      <c r="I121" s="36"/>
    </row>
    <row r="122" spans="2:9" x14ac:dyDescent="0.2">
      <c r="C122" s="36"/>
      <c r="D122" s="37"/>
      <c r="E122" s="38"/>
      <c r="F122" s="39"/>
      <c r="G122" s="38"/>
      <c r="H122" s="36"/>
      <c r="I122" s="36"/>
    </row>
    <row r="123" spans="2:9" x14ac:dyDescent="0.2">
      <c r="C123" s="36"/>
      <c r="D123" s="37"/>
      <c r="E123" s="38"/>
      <c r="F123" s="39"/>
      <c r="G123" s="38"/>
      <c r="H123" s="36"/>
      <c r="I123" s="36"/>
    </row>
    <row r="124" spans="2:9" x14ac:dyDescent="0.2">
      <c r="C124" s="36"/>
      <c r="D124" s="37"/>
      <c r="E124" s="38"/>
      <c r="F124" s="39"/>
      <c r="G124" s="38"/>
      <c r="H124" s="36"/>
      <c r="I124" s="36"/>
    </row>
    <row r="125" spans="2:9" x14ac:dyDescent="0.2">
      <c r="C125" s="36"/>
      <c r="D125" s="37"/>
      <c r="E125" s="38"/>
      <c r="F125" s="39"/>
      <c r="G125" s="38"/>
      <c r="H125" s="36"/>
      <c r="I125" s="36"/>
    </row>
    <row r="126" spans="2:9" x14ac:dyDescent="0.2">
      <c r="C126" s="36"/>
      <c r="D126" s="37"/>
      <c r="E126" s="38"/>
      <c r="F126" s="39"/>
      <c r="G126" s="38"/>
      <c r="H126" s="36"/>
    </row>
    <row r="127" spans="2:9" x14ac:dyDescent="0.2">
      <c r="C127" s="36"/>
      <c r="D127" s="37"/>
      <c r="E127" s="38"/>
      <c r="F127" s="39"/>
      <c r="G127" s="38"/>
      <c r="H127" s="36"/>
    </row>
    <row r="128" spans="2:9" x14ac:dyDescent="0.2">
      <c r="C128" s="36"/>
      <c r="D128" s="37"/>
      <c r="E128" s="38"/>
      <c r="F128" s="39"/>
      <c r="G128" s="38"/>
      <c r="H128" s="36"/>
    </row>
    <row r="129" spans="3:8" x14ac:dyDescent="0.2">
      <c r="C129" s="36"/>
      <c r="D129" s="37"/>
      <c r="E129" s="38"/>
      <c r="F129" s="39"/>
      <c r="G129" s="38"/>
      <c r="H129" s="36"/>
    </row>
    <row r="130" spans="3:8" x14ac:dyDescent="0.2">
      <c r="C130" s="36"/>
      <c r="D130" s="37"/>
      <c r="E130" s="38"/>
      <c r="F130" s="39"/>
      <c r="G130" s="38"/>
      <c r="H130" s="36"/>
    </row>
    <row r="131" spans="3:8" x14ac:dyDescent="0.2">
      <c r="C131" s="36"/>
      <c r="D131" s="37"/>
      <c r="E131" s="38"/>
      <c r="F131" s="39"/>
      <c r="G131" s="38"/>
      <c r="H131" s="36"/>
    </row>
    <row r="132" spans="3:8" x14ac:dyDescent="0.2">
      <c r="C132" s="36"/>
      <c r="D132" s="37"/>
      <c r="E132" s="38"/>
      <c r="F132" s="39"/>
      <c r="G132" s="38"/>
      <c r="H132" s="36"/>
    </row>
    <row r="133" spans="3:8" x14ac:dyDescent="0.2">
      <c r="C133" s="36"/>
      <c r="D133" s="37"/>
      <c r="E133" s="38"/>
      <c r="F133" s="39"/>
      <c r="G133" s="38"/>
      <c r="H133" s="36"/>
    </row>
    <row r="134" spans="3:8" x14ac:dyDescent="0.2">
      <c r="C134" s="36"/>
      <c r="D134" s="37"/>
      <c r="E134" s="38"/>
      <c r="F134" s="39"/>
      <c r="G134" s="38"/>
      <c r="H134" s="36"/>
    </row>
    <row r="135" spans="3:8" x14ac:dyDescent="0.2">
      <c r="C135" s="36"/>
      <c r="D135" s="37"/>
      <c r="E135" s="38"/>
      <c r="F135" s="39"/>
      <c r="G135" s="38"/>
      <c r="H135" s="36"/>
    </row>
    <row r="136" spans="3:8" x14ac:dyDescent="0.2">
      <c r="C136" s="36"/>
      <c r="D136" s="37"/>
      <c r="E136" s="38"/>
      <c r="F136" s="39"/>
      <c r="G136" s="38"/>
      <c r="H136" s="36"/>
    </row>
    <row r="137" spans="3:8" x14ac:dyDescent="0.2">
      <c r="C137" s="36"/>
      <c r="D137" s="37"/>
      <c r="E137" s="38"/>
      <c r="F137" s="39"/>
      <c r="G137" s="38"/>
      <c r="H137" s="36"/>
    </row>
    <row r="138" spans="3:8" x14ac:dyDescent="0.2">
      <c r="C138" s="36"/>
      <c r="D138" s="37"/>
      <c r="E138" s="38"/>
      <c r="F138" s="39"/>
      <c r="G138" s="38"/>
      <c r="H138" s="36"/>
    </row>
    <row r="139" spans="3:8" x14ac:dyDescent="0.2">
      <c r="C139" s="36"/>
      <c r="D139" s="37"/>
      <c r="E139" s="38"/>
      <c r="F139" s="39"/>
      <c r="G139" s="38"/>
      <c r="H139" s="36"/>
    </row>
    <row r="140" spans="3:8" x14ac:dyDescent="0.2">
      <c r="C140" s="36"/>
      <c r="D140" s="37"/>
      <c r="E140" s="38"/>
      <c r="F140" s="39"/>
      <c r="G140" s="38"/>
      <c r="H140" s="36"/>
    </row>
    <row r="141" spans="3:8" x14ac:dyDescent="0.2">
      <c r="C141" s="36"/>
      <c r="D141" s="37"/>
      <c r="E141" s="38"/>
      <c r="F141" s="39"/>
      <c r="G141" s="38"/>
      <c r="H141" s="36"/>
    </row>
    <row r="142" spans="3:8" x14ac:dyDescent="0.2">
      <c r="C142" s="36"/>
      <c r="D142" s="37"/>
      <c r="E142" s="38"/>
      <c r="F142" s="39"/>
      <c r="G142" s="38"/>
      <c r="H142" s="36"/>
    </row>
    <row r="143" spans="3:8" x14ac:dyDescent="0.2">
      <c r="C143" s="36"/>
      <c r="D143" s="37"/>
      <c r="E143" s="38"/>
      <c r="F143" s="39"/>
      <c r="G143" s="38"/>
      <c r="H143" s="36"/>
    </row>
    <row r="144" spans="3:8" x14ac:dyDescent="0.2">
      <c r="C144" s="36"/>
      <c r="D144" s="37"/>
      <c r="E144" s="38"/>
      <c r="F144" s="39"/>
      <c r="G144" s="38"/>
      <c r="H144" s="36"/>
    </row>
    <row r="145" spans="3:8" x14ac:dyDescent="0.2">
      <c r="C145" s="36"/>
      <c r="D145" s="37"/>
      <c r="E145" s="38"/>
      <c r="F145" s="39"/>
      <c r="G145" s="38"/>
      <c r="H145" s="36"/>
    </row>
    <row r="146" spans="3:8" x14ac:dyDescent="0.2">
      <c r="C146" s="36"/>
      <c r="D146" s="37"/>
      <c r="E146" s="38"/>
      <c r="F146" s="39"/>
      <c r="G146" s="38"/>
      <c r="H146" s="36"/>
    </row>
    <row r="147" spans="3:8" x14ac:dyDescent="0.2">
      <c r="C147" s="36"/>
      <c r="D147" s="37"/>
      <c r="E147" s="38"/>
      <c r="F147" s="39"/>
      <c r="G147" s="38"/>
      <c r="H147" s="36"/>
    </row>
    <row r="148" spans="3:8" x14ac:dyDescent="0.2">
      <c r="C148" s="36"/>
      <c r="D148" s="37"/>
      <c r="E148" s="38"/>
      <c r="F148" s="39"/>
      <c r="G148" s="38"/>
      <c r="H148" s="36"/>
    </row>
    <row r="149" spans="3:8" x14ac:dyDescent="0.2">
      <c r="C149" s="36"/>
      <c r="D149" s="37"/>
      <c r="E149" s="38"/>
      <c r="F149" s="39"/>
      <c r="G149" s="38"/>
      <c r="H149" s="36"/>
    </row>
    <row r="150" spans="3:8" x14ac:dyDescent="0.2">
      <c r="C150" s="36"/>
      <c r="D150" s="37"/>
      <c r="E150" s="38"/>
      <c r="F150" s="39"/>
      <c r="G150" s="38"/>
      <c r="H150" s="36"/>
    </row>
    <row r="151" spans="3:8" x14ac:dyDescent="0.2">
      <c r="C151" s="36"/>
      <c r="D151" s="37"/>
      <c r="E151" s="38"/>
      <c r="F151" s="39"/>
      <c r="G151" s="38"/>
      <c r="H151" s="36"/>
    </row>
    <row r="152" spans="3:8" x14ac:dyDescent="0.2">
      <c r="C152" s="36"/>
      <c r="D152" s="37"/>
      <c r="E152" s="38"/>
      <c r="F152" s="39"/>
      <c r="G152" s="38"/>
      <c r="H152" s="36"/>
    </row>
    <row r="153" spans="3:8" x14ac:dyDescent="0.2">
      <c r="C153" s="36"/>
      <c r="D153" s="37"/>
      <c r="E153" s="38"/>
      <c r="F153" s="39"/>
      <c r="G153" s="38"/>
      <c r="H153" s="36"/>
    </row>
    <row r="154" spans="3:8" x14ac:dyDescent="0.2">
      <c r="C154" s="36"/>
      <c r="D154" s="37"/>
      <c r="E154" s="38"/>
      <c r="F154" s="39"/>
      <c r="G154" s="38"/>
      <c r="H154" s="36"/>
    </row>
    <row r="155" spans="3:8" x14ac:dyDescent="0.2">
      <c r="C155" s="36"/>
      <c r="D155" s="37"/>
      <c r="E155" s="38"/>
      <c r="F155" s="39"/>
      <c r="G155" s="38"/>
      <c r="H155" s="36"/>
    </row>
    <row r="156" spans="3:8" x14ac:dyDescent="0.2">
      <c r="C156" s="36"/>
      <c r="D156" s="37"/>
      <c r="E156" s="38"/>
      <c r="F156" s="39"/>
      <c r="G156" s="38"/>
      <c r="H156" s="36"/>
    </row>
    <row r="157" spans="3:8" x14ac:dyDescent="0.2">
      <c r="C157" s="36"/>
      <c r="D157" s="37"/>
      <c r="E157" s="38"/>
      <c r="F157" s="39"/>
      <c r="G157" s="38"/>
      <c r="H157" s="36"/>
    </row>
    <row r="158" spans="3:8" x14ac:dyDescent="0.2">
      <c r="C158" s="36"/>
      <c r="D158" s="37"/>
      <c r="E158" s="38"/>
      <c r="F158" s="39"/>
      <c r="G158" s="38"/>
      <c r="H158" s="36"/>
    </row>
    <row r="159" spans="3:8" x14ac:dyDescent="0.2">
      <c r="C159" s="36"/>
      <c r="D159" s="37"/>
      <c r="E159" s="38"/>
      <c r="F159" s="39"/>
      <c r="G159" s="38"/>
      <c r="H159" s="36"/>
    </row>
    <row r="160" spans="3:8" x14ac:dyDescent="0.2">
      <c r="C160" s="36"/>
      <c r="D160" s="37"/>
      <c r="E160" s="38"/>
      <c r="F160" s="39"/>
      <c r="G160" s="38"/>
      <c r="H160" s="36"/>
    </row>
    <row r="161" spans="3:8" x14ac:dyDescent="0.2">
      <c r="C161" s="36"/>
      <c r="D161" s="37"/>
      <c r="E161" s="38"/>
      <c r="F161" s="39"/>
      <c r="G161" s="38"/>
      <c r="H161" s="36"/>
    </row>
    <row r="162" spans="3:8" x14ac:dyDescent="0.2">
      <c r="C162" s="36"/>
      <c r="D162" s="37"/>
      <c r="E162" s="38"/>
      <c r="F162" s="39"/>
      <c r="G162" s="38"/>
      <c r="H162" s="36"/>
    </row>
    <row r="163" spans="3:8" x14ac:dyDescent="0.2">
      <c r="C163" s="36"/>
      <c r="D163" s="37"/>
      <c r="E163" s="38"/>
      <c r="F163" s="39"/>
      <c r="G163" s="38"/>
      <c r="H163" s="36"/>
    </row>
    <row r="164" spans="3:8" x14ac:dyDescent="0.2">
      <c r="C164" s="36"/>
      <c r="D164" s="37"/>
      <c r="E164" s="38"/>
      <c r="F164" s="39"/>
      <c r="G164" s="38"/>
      <c r="H164" s="36"/>
    </row>
    <row r="165" spans="3:8" x14ac:dyDescent="0.2">
      <c r="C165" s="36"/>
      <c r="D165" s="37"/>
      <c r="E165" s="38"/>
      <c r="F165" s="39"/>
      <c r="G165" s="38"/>
      <c r="H165" s="36"/>
    </row>
    <row r="166" spans="3:8" x14ac:dyDescent="0.2">
      <c r="C166" s="36"/>
      <c r="D166" s="37"/>
      <c r="E166" s="38"/>
      <c r="F166" s="39"/>
      <c r="G166" s="38"/>
      <c r="H166" s="36"/>
    </row>
    <row r="167" spans="3:8" x14ac:dyDescent="0.2">
      <c r="C167" s="36"/>
      <c r="D167" s="37"/>
      <c r="E167" s="38"/>
      <c r="F167" s="39"/>
      <c r="G167" s="38"/>
      <c r="H167" s="36"/>
    </row>
    <row r="168" spans="3:8" x14ac:dyDescent="0.2">
      <c r="C168" s="36"/>
      <c r="D168" s="37"/>
      <c r="E168" s="38"/>
      <c r="F168" s="39"/>
      <c r="G168" s="38"/>
      <c r="H168" s="36"/>
    </row>
    <row r="169" spans="3:8" x14ac:dyDescent="0.2">
      <c r="C169" s="36"/>
      <c r="D169" s="37"/>
      <c r="E169" s="38"/>
      <c r="F169" s="39"/>
      <c r="G169" s="38"/>
      <c r="H169" s="36"/>
    </row>
    <row r="170" spans="3:8" x14ac:dyDescent="0.2">
      <c r="C170" s="36"/>
      <c r="D170" s="37"/>
      <c r="E170" s="38"/>
      <c r="F170" s="39"/>
      <c r="G170" s="38"/>
      <c r="H170" s="36"/>
    </row>
    <row r="171" spans="3:8" x14ac:dyDescent="0.2">
      <c r="C171" s="36"/>
      <c r="D171" s="37"/>
      <c r="E171" s="37"/>
      <c r="F171" s="39"/>
      <c r="G171" s="37"/>
      <c r="H171" s="36"/>
    </row>
    <row r="172" spans="3:8" x14ac:dyDescent="0.2">
      <c r="C172" s="36"/>
      <c r="D172" s="37"/>
      <c r="E172" s="37"/>
      <c r="F172" s="39"/>
      <c r="G172" s="37"/>
      <c r="H172" s="36"/>
    </row>
    <row r="173" spans="3:8" x14ac:dyDescent="0.2">
      <c r="C173" s="36"/>
      <c r="D173" s="37"/>
      <c r="E173" s="37"/>
      <c r="F173" s="39"/>
      <c r="G173" s="37"/>
      <c r="H173" s="36"/>
    </row>
    <row r="174" spans="3:8" x14ac:dyDescent="0.2">
      <c r="C174" s="36"/>
      <c r="D174" s="37"/>
      <c r="E174" s="37"/>
      <c r="F174" s="39"/>
      <c r="G174" s="37"/>
      <c r="H174" s="36"/>
    </row>
    <row r="175" spans="3:8" x14ac:dyDescent="0.2">
      <c r="C175" s="36"/>
      <c r="D175" s="37"/>
      <c r="E175" s="37"/>
      <c r="F175" s="39"/>
      <c r="G175" s="37"/>
      <c r="H175" s="36"/>
    </row>
    <row r="176" spans="3:8" x14ac:dyDescent="0.2">
      <c r="C176" s="36"/>
      <c r="D176" s="37"/>
      <c r="E176" s="37"/>
      <c r="F176" s="39"/>
      <c r="G176" s="37"/>
      <c r="H176" s="36"/>
    </row>
    <row r="177" spans="4:7" x14ac:dyDescent="0.2">
      <c r="D177" s="40"/>
      <c r="E177" s="37"/>
      <c r="F177" s="39"/>
      <c r="G177" s="37"/>
    </row>
    <row r="178" spans="4:7" x14ac:dyDescent="0.2">
      <c r="D178" s="40"/>
      <c r="E178" s="37"/>
      <c r="F178" s="39"/>
      <c r="G178" s="37"/>
    </row>
    <row r="179" spans="4:7" x14ac:dyDescent="0.2">
      <c r="D179" s="40"/>
      <c r="E179" s="37"/>
      <c r="F179" s="39"/>
      <c r="G179" s="37"/>
    </row>
    <row r="180" spans="4:7" x14ac:dyDescent="0.2">
      <c r="D180" s="40"/>
      <c r="E180" s="37"/>
      <c r="F180" s="39"/>
      <c r="G180" s="37"/>
    </row>
    <row r="181" spans="4:7" x14ac:dyDescent="0.2">
      <c r="D181" s="40"/>
      <c r="E181" s="37"/>
      <c r="F181" s="39"/>
      <c r="G181" s="37"/>
    </row>
    <row r="182" spans="4:7" x14ac:dyDescent="0.2">
      <c r="D182" s="40"/>
      <c r="E182" s="37"/>
      <c r="F182" s="39"/>
      <c r="G182" s="37"/>
    </row>
    <row r="183" spans="4:7" x14ac:dyDescent="0.2">
      <c r="D183" s="40"/>
      <c r="E183" s="37"/>
      <c r="F183" s="39"/>
      <c r="G183" s="37"/>
    </row>
    <row r="184" spans="4:7" x14ac:dyDescent="0.2">
      <c r="D184" s="40"/>
      <c r="E184" s="37"/>
      <c r="F184" s="39"/>
      <c r="G184" s="37"/>
    </row>
    <row r="185" spans="4:7" x14ac:dyDescent="0.2">
      <c r="D185" s="40"/>
      <c r="E185" s="37"/>
      <c r="F185" s="39"/>
      <c r="G185" s="37"/>
    </row>
    <row r="186" spans="4:7" x14ac:dyDescent="0.2">
      <c r="D186" s="40"/>
      <c r="E186" s="37"/>
      <c r="F186" s="39"/>
      <c r="G186" s="37"/>
    </row>
    <row r="187" spans="4:7" x14ac:dyDescent="0.2">
      <c r="D187" s="40"/>
      <c r="E187" s="37"/>
      <c r="F187" s="39"/>
      <c r="G187" s="37"/>
    </row>
    <row r="188" spans="4:7" x14ac:dyDescent="0.2">
      <c r="D188" s="40"/>
      <c r="E188" s="37"/>
      <c r="F188" s="39"/>
      <c r="G188" s="37"/>
    </row>
    <row r="189" spans="4:7" x14ac:dyDescent="0.2">
      <c r="D189" s="40"/>
      <c r="E189" s="37"/>
      <c r="F189" s="39"/>
      <c r="G189" s="37"/>
    </row>
    <row r="190" spans="4:7" x14ac:dyDescent="0.2">
      <c r="D190" s="40"/>
      <c r="E190" s="37"/>
      <c r="F190" s="39"/>
      <c r="G190" s="37"/>
    </row>
    <row r="191" spans="4:7" x14ac:dyDescent="0.2">
      <c r="D191" s="40"/>
      <c r="E191" s="37"/>
      <c r="F191" s="39"/>
      <c r="G191" s="37"/>
    </row>
    <row r="192" spans="4:7" x14ac:dyDescent="0.2">
      <c r="D192" s="40"/>
      <c r="E192" s="37"/>
      <c r="F192" s="39"/>
      <c r="G192" s="37"/>
    </row>
    <row r="193" spans="4:7" x14ac:dyDescent="0.2">
      <c r="D193" s="40"/>
      <c r="E193" s="37"/>
      <c r="F193" s="39"/>
      <c r="G193" s="37"/>
    </row>
    <row r="194" spans="4:7" x14ac:dyDescent="0.2">
      <c r="D194" s="40"/>
      <c r="E194" s="37"/>
      <c r="F194" s="39"/>
      <c r="G194" s="37"/>
    </row>
    <row r="195" spans="4:7" x14ac:dyDescent="0.2">
      <c r="D195" s="40"/>
      <c r="E195" s="37"/>
      <c r="F195" s="39"/>
      <c r="G195" s="37"/>
    </row>
    <row r="196" spans="4:7" x14ac:dyDescent="0.2">
      <c r="D196" s="40"/>
      <c r="E196" s="37"/>
      <c r="F196" s="39"/>
      <c r="G196" s="37"/>
    </row>
    <row r="197" spans="4:7" x14ac:dyDescent="0.2">
      <c r="D197" s="40"/>
      <c r="E197" s="37"/>
      <c r="F197" s="39"/>
      <c r="G197" s="37"/>
    </row>
    <row r="198" spans="4:7" x14ac:dyDescent="0.2">
      <c r="D198" s="40"/>
      <c r="E198" s="37"/>
      <c r="F198" s="39"/>
      <c r="G198" s="37"/>
    </row>
    <row r="199" spans="4:7" x14ac:dyDescent="0.2">
      <c r="D199" s="40"/>
      <c r="E199" s="37"/>
      <c r="F199" s="39"/>
      <c r="G199" s="37"/>
    </row>
    <row r="200" spans="4:7" x14ac:dyDescent="0.2">
      <c r="D200" s="40"/>
      <c r="E200" s="37"/>
      <c r="F200" s="39"/>
      <c r="G200" s="37"/>
    </row>
    <row r="201" spans="4:7" x14ac:dyDescent="0.2">
      <c r="D201" s="40"/>
      <c r="E201" s="37"/>
      <c r="F201" s="39"/>
      <c r="G201" s="37"/>
    </row>
    <row r="202" spans="4:7" x14ac:dyDescent="0.2">
      <c r="D202" s="40"/>
      <c r="E202" s="37"/>
      <c r="F202" s="37"/>
      <c r="G202" s="37"/>
    </row>
    <row r="203" spans="4:7" x14ac:dyDescent="0.2">
      <c r="D203" s="40"/>
      <c r="E203" s="37"/>
      <c r="F203" s="37"/>
      <c r="G203" s="37"/>
    </row>
    <row r="204" spans="4:7" x14ac:dyDescent="0.2">
      <c r="D204" s="40"/>
      <c r="E204" s="37"/>
      <c r="F204" s="37"/>
      <c r="G204" s="37"/>
    </row>
    <row r="205" spans="4:7" x14ac:dyDescent="0.2">
      <c r="D205" s="40"/>
      <c r="E205" s="37"/>
      <c r="F205" s="37"/>
      <c r="G205" s="37"/>
    </row>
    <row r="206" spans="4:7" x14ac:dyDescent="0.2">
      <c r="D206" s="40"/>
      <c r="E206" s="37"/>
      <c r="F206" s="37"/>
      <c r="G206" s="37"/>
    </row>
    <row r="207" spans="4:7" x14ac:dyDescent="0.2">
      <c r="D207" s="40"/>
      <c r="E207" s="37"/>
      <c r="F207" s="37"/>
      <c r="G207" s="37"/>
    </row>
    <row r="208" spans="4:7" x14ac:dyDescent="0.2">
      <c r="D208" s="40"/>
      <c r="E208" s="37"/>
      <c r="F208" s="37"/>
      <c r="G208" s="37"/>
    </row>
    <row r="209" spans="4:7" x14ac:dyDescent="0.2">
      <c r="D209" s="40"/>
      <c r="E209" s="37"/>
      <c r="F209" s="37"/>
      <c r="G209" s="37"/>
    </row>
    <row r="210" spans="4:7" x14ac:dyDescent="0.2">
      <c r="D210" s="40"/>
      <c r="E210" s="37"/>
      <c r="F210" s="37"/>
      <c r="G210" s="37"/>
    </row>
    <row r="211" spans="4:7" x14ac:dyDescent="0.2">
      <c r="D211" s="40"/>
      <c r="E211" s="37"/>
      <c r="F211" s="37"/>
      <c r="G211" s="37"/>
    </row>
    <row r="212" spans="4:7" x14ac:dyDescent="0.2">
      <c r="D212" s="40"/>
      <c r="E212" s="37"/>
      <c r="F212" s="37"/>
      <c r="G212" s="37"/>
    </row>
    <row r="213" spans="4:7" x14ac:dyDescent="0.2">
      <c r="D213" s="40"/>
      <c r="E213" s="37"/>
      <c r="F213" s="37"/>
      <c r="G213" s="37"/>
    </row>
    <row r="214" spans="4:7" x14ac:dyDescent="0.2">
      <c r="D214" s="40"/>
      <c r="E214" s="37"/>
      <c r="F214" s="37"/>
      <c r="G214" s="37"/>
    </row>
    <row r="215" spans="4:7" x14ac:dyDescent="0.2">
      <c r="D215" s="40"/>
      <c r="E215" s="37"/>
      <c r="F215" s="37"/>
      <c r="G215" s="37"/>
    </row>
    <row r="216" spans="4:7" x14ac:dyDescent="0.2">
      <c r="D216" s="40"/>
      <c r="E216" s="37"/>
      <c r="F216" s="37"/>
      <c r="G216" s="37"/>
    </row>
    <row r="217" spans="4:7" x14ac:dyDescent="0.2">
      <c r="D217" s="40"/>
      <c r="E217" s="37"/>
      <c r="F217" s="37"/>
      <c r="G217" s="37"/>
    </row>
    <row r="218" spans="4:7" x14ac:dyDescent="0.2">
      <c r="D218" s="40"/>
      <c r="E218" s="37"/>
      <c r="F218" s="37"/>
      <c r="G218" s="37"/>
    </row>
    <row r="219" spans="4:7" x14ac:dyDescent="0.2">
      <c r="D219" s="40"/>
      <c r="E219" s="37"/>
      <c r="F219" s="37"/>
      <c r="G219" s="37"/>
    </row>
    <row r="220" spans="4:7" x14ac:dyDescent="0.2">
      <c r="D220" s="40"/>
      <c r="E220" s="37"/>
      <c r="F220" s="37"/>
      <c r="G220" s="37"/>
    </row>
    <row r="221" spans="4:7" x14ac:dyDescent="0.2">
      <c r="D221" s="40"/>
      <c r="E221" s="37"/>
      <c r="F221" s="37"/>
      <c r="G221" s="37"/>
    </row>
    <row r="222" spans="4:7" x14ac:dyDescent="0.2">
      <c r="D222" s="40"/>
      <c r="E222" s="37"/>
      <c r="F222" s="37"/>
      <c r="G222" s="37"/>
    </row>
    <row r="223" spans="4:7" x14ac:dyDescent="0.2">
      <c r="D223" s="40"/>
      <c r="E223" s="37"/>
      <c r="F223" s="37"/>
      <c r="G223" s="37"/>
    </row>
    <row r="224" spans="4:7" x14ac:dyDescent="0.2">
      <c r="D224" s="40"/>
      <c r="E224" s="37"/>
      <c r="F224" s="37"/>
      <c r="G224" s="37"/>
    </row>
    <row r="225" spans="4:7" x14ac:dyDescent="0.2">
      <c r="D225" s="40"/>
      <c r="E225" s="40"/>
      <c r="F225" s="40"/>
      <c r="G225" s="40"/>
    </row>
    <row r="226" spans="4:7" x14ac:dyDescent="0.2">
      <c r="D226" s="40"/>
      <c r="E226" s="40"/>
      <c r="F226" s="40"/>
      <c r="G226" s="40"/>
    </row>
    <row r="227" spans="4:7" x14ac:dyDescent="0.2">
      <c r="D227" s="40"/>
      <c r="E227" s="40"/>
      <c r="F227" s="40"/>
      <c r="G227" s="40"/>
    </row>
    <row r="228" spans="4:7" x14ac:dyDescent="0.2">
      <c r="D228" s="40"/>
      <c r="E228" s="40"/>
      <c r="F228" s="40"/>
      <c r="G228" s="40"/>
    </row>
    <row r="229" spans="4:7" x14ac:dyDescent="0.2">
      <c r="D229" s="40"/>
      <c r="E229" s="40"/>
      <c r="F229" s="40"/>
      <c r="G229" s="40"/>
    </row>
    <row r="230" spans="4:7" x14ac:dyDescent="0.2">
      <c r="D230" s="40"/>
      <c r="E230" s="40"/>
      <c r="F230" s="40"/>
      <c r="G230" s="40"/>
    </row>
    <row r="231" spans="4:7" x14ac:dyDescent="0.2">
      <c r="D231" s="40"/>
      <c r="E231" s="40"/>
      <c r="F231" s="40"/>
      <c r="G231" s="40"/>
    </row>
    <row r="232" spans="4:7" x14ac:dyDescent="0.2">
      <c r="D232" s="40"/>
      <c r="E232" s="40"/>
      <c r="F232" s="40"/>
      <c r="G232" s="40"/>
    </row>
    <row r="233" spans="4:7" x14ac:dyDescent="0.2">
      <c r="D233" s="40"/>
      <c r="E233" s="40"/>
      <c r="F233" s="40"/>
      <c r="G233" s="40"/>
    </row>
    <row r="234" spans="4:7" x14ac:dyDescent="0.2">
      <c r="D234" s="40"/>
      <c r="E234" s="40"/>
      <c r="F234" s="40"/>
      <c r="G234" s="40"/>
    </row>
    <row r="235" spans="4:7" x14ac:dyDescent="0.2">
      <c r="D235" s="40"/>
      <c r="E235" s="40"/>
      <c r="F235" s="40"/>
      <c r="G235" s="40"/>
    </row>
    <row r="236" spans="4:7" x14ac:dyDescent="0.2">
      <c r="D236" s="40"/>
      <c r="E236" s="40"/>
      <c r="F236" s="40"/>
      <c r="G236" s="40"/>
    </row>
    <row r="237" spans="4:7" x14ac:dyDescent="0.2">
      <c r="D237" s="40"/>
      <c r="E237" s="40"/>
      <c r="F237" s="40"/>
      <c r="G237" s="40"/>
    </row>
    <row r="238" spans="4:7" x14ac:dyDescent="0.2">
      <c r="D238" s="40"/>
      <c r="E238" s="40"/>
      <c r="F238" s="40"/>
      <c r="G238" s="40"/>
    </row>
    <row r="239" spans="4:7" x14ac:dyDescent="0.2">
      <c r="D239" s="40"/>
      <c r="E239" s="40"/>
      <c r="F239" s="40"/>
      <c r="G239" s="40"/>
    </row>
    <row r="240" spans="4:7" x14ac:dyDescent="0.2">
      <c r="D240" s="40"/>
      <c r="E240" s="40"/>
      <c r="F240" s="40"/>
      <c r="G240" s="40"/>
    </row>
    <row r="241" spans="4:7" x14ac:dyDescent="0.2">
      <c r="D241" s="40"/>
      <c r="E241" s="40"/>
      <c r="F241" s="40"/>
      <c r="G241" s="40"/>
    </row>
    <row r="242" spans="4:7" x14ac:dyDescent="0.2">
      <c r="D242" s="40"/>
      <c r="E242" s="40"/>
      <c r="F242" s="40"/>
      <c r="G242" s="40"/>
    </row>
    <row r="243" spans="4:7" x14ac:dyDescent="0.2">
      <c r="D243" s="40"/>
      <c r="E243" s="40"/>
      <c r="F243" s="40"/>
      <c r="G243" s="40"/>
    </row>
    <row r="244" spans="4:7" x14ac:dyDescent="0.2">
      <c r="D244" s="40"/>
      <c r="E244" s="40"/>
      <c r="F244" s="40"/>
      <c r="G244" s="40"/>
    </row>
    <row r="245" spans="4:7" x14ac:dyDescent="0.2">
      <c r="D245" s="40"/>
      <c r="E245" s="40"/>
      <c r="F245" s="40"/>
      <c r="G245" s="40"/>
    </row>
    <row r="246" spans="4:7" x14ac:dyDescent="0.2">
      <c r="D246" s="40"/>
      <c r="E246" s="40"/>
      <c r="F246" s="40"/>
      <c r="G246" s="40"/>
    </row>
    <row r="247" spans="4:7" x14ac:dyDescent="0.2">
      <c r="D247" s="40"/>
      <c r="E247" s="40"/>
      <c r="F247" s="40"/>
      <c r="G247" s="40"/>
    </row>
    <row r="248" spans="4:7" x14ac:dyDescent="0.2">
      <c r="D248" s="40"/>
      <c r="E248" s="40"/>
      <c r="F248" s="40"/>
      <c r="G248" s="40"/>
    </row>
    <row r="249" spans="4:7" x14ac:dyDescent="0.2">
      <c r="D249" s="40"/>
      <c r="E249" s="40"/>
      <c r="F249" s="40"/>
      <c r="G249" s="40"/>
    </row>
    <row r="250" spans="4:7" x14ac:dyDescent="0.2">
      <c r="D250" s="40"/>
      <c r="E250" s="40"/>
      <c r="F250" s="40"/>
      <c r="G250" s="40"/>
    </row>
    <row r="251" spans="4:7" x14ac:dyDescent="0.2">
      <c r="D251" s="40"/>
      <c r="E251" s="40"/>
      <c r="F251" s="40"/>
      <c r="G251" s="40"/>
    </row>
    <row r="252" spans="4:7" x14ac:dyDescent="0.2">
      <c r="D252" s="40"/>
      <c r="E252" s="40"/>
      <c r="F252" s="40"/>
      <c r="G252" s="40"/>
    </row>
    <row r="253" spans="4:7" x14ac:dyDescent="0.2">
      <c r="D253" s="40"/>
      <c r="E253" s="40"/>
      <c r="F253" s="40"/>
      <c r="G253" s="40"/>
    </row>
    <row r="254" spans="4:7" x14ac:dyDescent="0.2">
      <c r="D254" s="40"/>
      <c r="E254" s="40"/>
      <c r="F254" s="40"/>
      <c r="G254" s="40"/>
    </row>
    <row r="255" spans="4:7" x14ac:dyDescent="0.2">
      <c r="D255" s="40"/>
      <c r="E255" s="40"/>
      <c r="F255" s="40"/>
      <c r="G255" s="40"/>
    </row>
    <row r="256" spans="4:7" x14ac:dyDescent="0.2">
      <c r="D256" s="40"/>
      <c r="E256" s="40"/>
      <c r="F256" s="40"/>
      <c r="G256" s="40"/>
    </row>
    <row r="257" spans="4:7" x14ac:dyDescent="0.2">
      <c r="D257" s="40"/>
      <c r="E257" s="40"/>
      <c r="F257" s="40"/>
      <c r="G257" s="40"/>
    </row>
    <row r="258" spans="4:7" x14ac:dyDescent="0.2">
      <c r="D258" s="40"/>
      <c r="E258" s="40"/>
      <c r="F258" s="40"/>
      <c r="G258" s="40"/>
    </row>
    <row r="259" spans="4:7" x14ac:dyDescent="0.2">
      <c r="D259" s="40"/>
      <c r="E259" s="40"/>
      <c r="F259" s="40"/>
      <c r="G259" s="40"/>
    </row>
    <row r="260" spans="4:7" x14ac:dyDescent="0.2">
      <c r="D260" s="40"/>
      <c r="E260" s="40"/>
      <c r="F260" s="40"/>
      <c r="G260" s="40"/>
    </row>
    <row r="261" spans="4:7" x14ac:dyDescent="0.2">
      <c r="D261" s="40"/>
      <c r="E261" s="40"/>
      <c r="F261" s="40"/>
      <c r="G261" s="40"/>
    </row>
    <row r="262" spans="4:7" x14ac:dyDescent="0.2">
      <c r="D262" s="40"/>
      <c r="E262" s="40"/>
      <c r="F262" s="40"/>
      <c r="G262" s="40"/>
    </row>
    <row r="263" spans="4:7" x14ac:dyDescent="0.2">
      <c r="D263" s="40"/>
      <c r="E263" s="40"/>
      <c r="F263" s="40"/>
      <c r="G263" s="40"/>
    </row>
    <row r="264" spans="4:7" x14ac:dyDescent="0.2">
      <c r="D264" s="40"/>
      <c r="E264" s="40"/>
      <c r="F264" s="40"/>
      <c r="G264" s="40"/>
    </row>
    <row r="265" spans="4:7" x14ac:dyDescent="0.2">
      <c r="D265" s="40"/>
      <c r="E265" s="40"/>
      <c r="F265" s="40"/>
      <c r="G265" s="40"/>
    </row>
    <row r="266" spans="4:7" x14ac:dyDescent="0.2">
      <c r="D266" s="40"/>
      <c r="E266" s="40"/>
      <c r="F266" s="40"/>
      <c r="G266" s="40"/>
    </row>
    <row r="267" spans="4:7" x14ac:dyDescent="0.2">
      <c r="D267" s="40"/>
      <c r="E267" s="40"/>
      <c r="F267" s="40"/>
      <c r="G267" s="40"/>
    </row>
    <row r="268" spans="4:7" x14ac:dyDescent="0.2">
      <c r="D268" s="40"/>
      <c r="E268" s="40"/>
      <c r="F268" s="40"/>
      <c r="G268" s="40"/>
    </row>
    <row r="269" spans="4:7" x14ac:dyDescent="0.2">
      <c r="D269" s="40"/>
      <c r="E269" s="40"/>
      <c r="F269" s="40"/>
      <c r="G269" s="40"/>
    </row>
    <row r="270" spans="4:7" x14ac:dyDescent="0.2">
      <c r="D270" s="40"/>
      <c r="E270" s="40"/>
      <c r="F270" s="40"/>
      <c r="G270" s="40"/>
    </row>
    <row r="271" spans="4:7" x14ac:dyDescent="0.2">
      <c r="D271" s="40"/>
      <c r="E271" s="40"/>
      <c r="F271" s="40"/>
      <c r="G271" s="40"/>
    </row>
    <row r="272" spans="4:7" x14ac:dyDescent="0.2">
      <c r="D272" s="40"/>
      <c r="E272" s="40"/>
      <c r="F272" s="40"/>
      <c r="G272" s="40"/>
    </row>
    <row r="273" spans="4:7" x14ac:dyDescent="0.2">
      <c r="D273" s="40"/>
      <c r="E273" s="40"/>
      <c r="F273" s="40"/>
      <c r="G273" s="40"/>
    </row>
    <row r="274" spans="4:7" x14ac:dyDescent="0.2">
      <c r="D274" s="40"/>
      <c r="E274" s="40"/>
      <c r="F274" s="40"/>
      <c r="G274" s="40"/>
    </row>
    <row r="275" spans="4:7" x14ac:dyDescent="0.2">
      <c r="D275" s="40"/>
      <c r="E275" s="40"/>
      <c r="F275" s="40"/>
      <c r="G275" s="40"/>
    </row>
    <row r="276" spans="4:7" x14ac:dyDescent="0.2">
      <c r="D276" s="40"/>
      <c r="E276" s="40"/>
      <c r="F276" s="40"/>
      <c r="G276" s="40"/>
    </row>
    <row r="277" spans="4:7" x14ac:dyDescent="0.2">
      <c r="D277" s="40"/>
      <c r="E277" s="40"/>
      <c r="F277" s="40"/>
      <c r="G277" s="40"/>
    </row>
    <row r="278" spans="4:7" x14ac:dyDescent="0.2">
      <c r="D278" s="40"/>
      <c r="E278" s="40"/>
      <c r="F278" s="40"/>
      <c r="G278" s="40"/>
    </row>
    <row r="279" spans="4:7" x14ac:dyDescent="0.2">
      <c r="D279" s="40"/>
      <c r="E279" s="40"/>
      <c r="F279" s="40"/>
      <c r="G279" s="40"/>
    </row>
    <row r="280" spans="4:7" x14ac:dyDescent="0.2">
      <c r="D280" s="40"/>
      <c r="E280" s="40"/>
      <c r="F280" s="40"/>
      <c r="G280" s="40"/>
    </row>
    <row r="281" spans="4:7" x14ac:dyDescent="0.2">
      <c r="D281" s="40"/>
      <c r="E281" s="40"/>
      <c r="F281" s="40"/>
      <c r="G281" s="40"/>
    </row>
    <row r="282" spans="4:7" x14ac:dyDescent="0.2">
      <c r="D282" s="40"/>
      <c r="E282" s="40"/>
      <c r="F282" s="40"/>
      <c r="G282" s="40"/>
    </row>
    <row r="283" spans="4:7" x14ac:dyDescent="0.2">
      <c r="D283" s="40"/>
      <c r="E283" s="40"/>
      <c r="F283" s="40"/>
      <c r="G283" s="40"/>
    </row>
    <row r="284" spans="4:7" x14ac:dyDescent="0.2">
      <c r="D284" s="40"/>
      <c r="E284" s="40"/>
      <c r="F284" s="40"/>
      <c r="G284" s="40"/>
    </row>
    <row r="285" spans="4:7" x14ac:dyDescent="0.2">
      <c r="D285" s="40"/>
      <c r="E285" s="40"/>
      <c r="F285" s="40"/>
      <c r="G285" s="40"/>
    </row>
    <row r="286" spans="4:7" x14ac:dyDescent="0.2">
      <c r="D286" s="40"/>
      <c r="E286" s="40"/>
      <c r="F286" s="40"/>
      <c r="G286" s="40"/>
    </row>
    <row r="287" spans="4:7" x14ac:dyDescent="0.2">
      <c r="D287" s="40"/>
      <c r="E287" s="40"/>
      <c r="F287" s="40"/>
      <c r="G287" s="40"/>
    </row>
    <row r="288" spans="4:7" x14ac:dyDescent="0.2">
      <c r="D288" s="40"/>
      <c r="E288" s="40"/>
      <c r="F288" s="40"/>
      <c r="G288" s="40"/>
    </row>
    <row r="289" spans="4:7" x14ac:dyDescent="0.2">
      <c r="D289" s="40"/>
      <c r="E289" s="40"/>
      <c r="F289" s="40"/>
      <c r="G289" s="40"/>
    </row>
    <row r="290" spans="4:7" x14ac:dyDescent="0.2">
      <c r="D290" s="40"/>
      <c r="E290" s="40"/>
      <c r="F290" s="40"/>
      <c r="G290" s="40"/>
    </row>
    <row r="291" spans="4:7" x14ac:dyDescent="0.2">
      <c r="D291" s="40"/>
      <c r="E291" s="40"/>
      <c r="F291" s="40"/>
      <c r="G291" s="40"/>
    </row>
    <row r="292" spans="4:7" x14ac:dyDescent="0.2">
      <c r="D292" s="40"/>
      <c r="E292" s="40"/>
      <c r="F292" s="40"/>
      <c r="G292" s="40"/>
    </row>
    <row r="293" spans="4:7" x14ac:dyDescent="0.2">
      <c r="D293" s="40"/>
      <c r="E293" s="40"/>
      <c r="F293" s="40"/>
      <c r="G293" s="40"/>
    </row>
    <row r="294" spans="4:7" x14ac:dyDescent="0.2">
      <c r="D294" s="40"/>
      <c r="E294" s="40"/>
      <c r="F294" s="40"/>
      <c r="G294" s="40"/>
    </row>
    <row r="295" spans="4:7" x14ac:dyDescent="0.2">
      <c r="D295" s="40"/>
      <c r="E295" s="40"/>
      <c r="F295" s="40"/>
      <c r="G295" s="40"/>
    </row>
    <row r="296" spans="4:7" x14ac:dyDescent="0.2">
      <c r="D296" s="40"/>
      <c r="E296" s="40"/>
      <c r="F296" s="40"/>
      <c r="G296" s="40"/>
    </row>
    <row r="297" spans="4:7" x14ac:dyDescent="0.2">
      <c r="D297" s="40"/>
      <c r="E297" s="40"/>
      <c r="F297" s="40"/>
      <c r="G297" s="40"/>
    </row>
    <row r="298" spans="4:7" x14ac:dyDescent="0.2">
      <c r="D298" s="40"/>
      <c r="E298" s="40"/>
      <c r="F298" s="40"/>
      <c r="G298" s="40"/>
    </row>
    <row r="299" spans="4:7" x14ac:dyDescent="0.2">
      <c r="D299" s="40"/>
      <c r="E299" s="40"/>
      <c r="F299" s="40"/>
      <c r="G299" s="40"/>
    </row>
    <row r="300" spans="4:7" x14ac:dyDescent="0.2">
      <c r="D300" s="40"/>
      <c r="E300" s="40"/>
      <c r="F300" s="40"/>
      <c r="G300" s="40"/>
    </row>
    <row r="301" spans="4:7" x14ac:dyDescent="0.2">
      <c r="D301" s="40"/>
      <c r="E301" s="40"/>
      <c r="F301" s="40"/>
      <c r="G301" s="40"/>
    </row>
    <row r="302" spans="4:7" x14ac:dyDescent="0.2">
      <c r="D302" s="40"/>
      <c r="E302" s="40"/>
      <c r="F302" s="40"/>
      <c r="G302" s="40"/>
    </row>
    <row r="303" spans="4:7" x14ac:dyDescent="0.2">
      <c r="D303" s="40"/>
      <c r="E303" s="40"/>
      <c r="F303" s="40"/>
      <c r="G303" s="40"/>
    </row>
    <row r="304" spans="4:7" x14ac:dyDescent="0.2">
      <c r="D304" s="40"/>
      <c r="E304" s="40"/>
      <c r="F304" s="40"/>
      <c r="G304" s="40"/>
    </row>
    <row r="305" spans="4:7" x14ac:dyDescent="0.2">
      <c r="D305" s="40"/>
      <c r="E305" s="40"/>
      <c r="F305" s="40"/>
      <c r="G305" s="40"/>
    </row>
    <row r="306" spans="4:7" x14ac:dyDescent="0.2">
      <c r="D306" s="40"/>
      <c r="E306" s="40"/>
      <c r="F306" s="40"/>
      <c r="G306" s="40"/>
    </row>
    <row r="307" spans="4:7" x14ac:dyDescent="0.2">
      <c r="D307" s="40"/>
      <c r="E307" s="40"/>
      <c r="F307" s="40"/>
      <c r="G307" s="40"/>
    </row>
    <row r="308" spans="4:7" x14ac:dyDescent="0.2">
      <c r="D308" s="40"/>
      <c r="E308" s="40"/>
      <c r="F308" s="40"/>
      <c r="G308" s="40"/>
    </row>
    <row r="309" spans="4:7" x14ac:dyDescent="0.2">
      <c r="D309" s="40"/>
      <c r="E309" s="40"/>
      <c r="F309" s="40"/>
      <c r="G309" s="40"/>
    </row>
    <row r="310" spans="4:7" x14ac:dyDescent="0.2">
      <c r="D310" s="40"/>
      <c r="E310" s="40"/>
      <c r="F310" s="40"/>
      <c r="G310" s="40"/>
    </row>
    <row r="311" spans="4:7" x14ac:dyDescent="0.2">
      <c r="D311" s="40"/>
      <c r="E311" s="40"/>
      <c r="F311" s="40"/>
      <c r="G311" s="40"/>
    </row>
    <row r="312" spans="4:7" x14ac:dyDescent="0.2">
      <c r="D312" s="40"/>
      <c r="E312" s="40"/>
      <c r="F312" s="40"/>
      <c r="G312" s="40"/>
    </row>
    <row r="313" spans="4:7" x14ac:dyDescent="0.2">
      <c r="D313" s="40"/>
      <c r="E313" s="40"/>
      <c r="F313" s="40"/>
      <c r="G313" s="40"/>
    </row>
    <row r="314" spans="4:7" x14ac:dyDescent="0.2">
      <c r="D314" s="40"/>
      <c r="E314" s="40"/>
      <c r="F314" s="40"/>
      <c r="G314" s="40"/>
    </row>
    <row r="315" spans="4:7" x14ac:dyDescent="0.2">
      <c r="D315" s="40"/>
      <c r="E315" s="40"/>
      <c r="F315" s="40"/>
      <c r="G315" s="40"/>
    </row>
    <row r="316" spans="4:7" x14ac:dyDescent="0.2">
      <c r="D316" s="40"/>
      <c r="E316" s="40"/>
      <c r="F316" s="40"/>
      <c r="G316" s="40"/>
    </row>
    <row r="317" spans="4:7" x14ac:dyDescent="0.2">
      <c r="D317" s="40"/>
      <c r="E317" s="40"/>
      <c r="F317" s="40"/>
      <c r="G317" s="40"/>
    </row>
    <row r="318" spans="4:7" x14ac:dyDescent="0.2">
      <c r="D318" s="40"/>
      <c r="E318" s="40"/>
      <c r="F318" s="40"/>
      <c r="G318" s="40"/>
    </row>
    <row r="319" spans="4:7" x14ac:dyDescent="0.2">
      <c r="D319" s="40"/>
      <c r="E319" s="40"/>
      <c r="F319" s="40"/>
      <c r="G319" s="40"/>
    </row>
    <row r="320" spans="4:7" x14ac:dyDescent="0.2">
      <c r="D320" s="40"/>
      <c r="E320" s="40"/>
      <c r="F320" s="40"/>
      <c r="G320" s="40"/>
    </row>
    <row r="321" spans="4:7" x14ac:dyDescent="0.2">
      <c r="D321" s="40"/>
      <c r="E321" s="40"/>
      <c r="F321" s="40"/>
      <c r="G321" s="40"/>
    </row>
    <row r="322" spans="4:7" x14ac:dyDescent="0.2">
      <c r="D322" s="40"/>
      <c r="E322" s="40"/>
      <c r="F322" s="40"/>
      <c r="G322" s="40"/>
    </row>
    <row r="323" spans="4:7" x14ac:dyDescent="0.2">
      <c r="D323" s="40"/>
      <c r="E323" s="40"/>
      <c r="F323" s="40"/>
      <c r="G323" s="40"/>
    </row>
    <row r="324" spans="4:7" x14ac:dyDescent="0.2">
      <c r="D324" s="40"/>
      <c r="E324" s="40"/>
      <c r="F324" s="40"/>
      <c r="G324" s="40"/>
    </row>
    <row r="325" spans="4:7" x14ac:dyDescent="0.2">
      <c r="D325" s="40"/>
      <c r="E325" s="40"/>
      <c r="F325" s="40"/>
      <c r="G325" s="40"/>
    </row>
    <row r="326" spans="4:7" x14ac:dyDescent="0.2">
      <c r="D326" s="40"/>
      <c r="E326" s="40"/>
      <c r="F326" s="40"/>
      <c r="G326" s="40"/>
    </row>
    <row r="327" spans="4:7" x14ac:dyDescent="0.2">
      <c r="D327" s="40"/>
      <c r="E327" s="40"/>
      <c r="F327" s="40"/>
      <c r="G327" s="40"/>
    </row>
    <row r="328" spans="4:7" x14ac:dyDescent="0.2">
      <c r="D328" s="40"/>
      <c r="E328" s="40"/>
      <c r="F328" s="40"/>
      <c r="G328" s="40"/>
    </row>
    <row r="329" spans="4:7" x14ac:dyDescent="0.2">
      <c r="D329" s="40"/>
      <c r="E329" s="40"/>
      <c r="F329" s="40"/>
      <c r="G329" s="40"/>
    </row>
    <row r="330" spans="4:7" x14ac:dyDescent="0.2">
      <c r="D330" s="40"/>
      <c r="E330" s="40"/>
      <c r="F330" s="40"/>
      <c r="G330" s="40"/>
    </row>
    <row r="331" spans="4:7" x14ac:dyDescent="0.2">
      <c r="D331" s="40"/>
      <c r="E331" s="40"/>
      <c r="F331" s="40"/>
      <c r="G331" s="40"/>
    </row>
    <row r="332" spans="4:7" x14ac:dyDescent="0.2">
      <c r="D332" s="40"/>
      <c r="E332" s="40"/>
      <c r="F332" s="40"/>
      <c r="G332" s="40"/>
    </row>
    <row r="333" spans="4:7" x14ac:dyDescent="0.2">
      <c r="D333" s="40"/>
      <c r="E333" s="40"/>
      <c r="F333" s="40"/>
      <c r="G333" s="40"/>
    </row>
    <row r="334" spans="4:7" x14ac:dyDescent="0.2">
      <c r="D334" s="40"/>
      <c r="E334" s="40"/>
      <c r="F334" s="40"/>
      <c r="G334" s="40"/>
    </row>
    <row r="335" spans="4:7" x14ac:dyDescent="0.2">
      <c r="D335" s="40"/>
      <c r="E335" s="40"/>
      <c r="F335" s="40"/>
      <c r="G335" s="40"/>
    </row>
    <row r="336" spans="4:7" x14ac:dyDescent="0.2">
      <c r="D336" s="40"/>
      <c r="E336" s="40"/>
      <c r="F336" s="40"/>
      <c r="G336" s="40"/>
    </row>
    <row r="337" spans="4:7" x14ac:dyDescent="0.2">
      <c r="D337" s="40"/>
      <c r="E337" s="40"/>
      <c r="F337" s="40"/>
      <c r="G337" s="40"/>
    </row>
    <row r="338" spans="4:7" x14ac:dyDescent="0.2">
      <c r="D338" s="40"/>
      <c r="E338" s="40"/>
      <c r="F338" s="40"/>
      <c r="G338" s="40"/>
    </row>
    <row r="339" spans="4:7" x14ac:dyDescent="0.2">
      <c r="D339" s="40"/>
      <c r="E339" s="40"/>
      <c r="F339" s="40"/>
      <c r="G339" s="40"/>
    </row>
    <row r="340" spans="4:7" x14ac:dyDescent="0.2">
      <c r="D340" s="40"/>
      <c r="E340" s="40"/>
      <c r="F340" s="40"/>
      <c r="G340" s="40"/>
    </row>
    <row r="341" spans="4:7" x14ac:dyDescent="0.2">
      <c r="D341" s="40"/>
      <c r="E341" s="40"/>
      <c r="F341" s="40"/>
      <c r="G341" s="40"/>
    </row>
    <row r="342" spans="4:7" x14ac:dyDescent="0.2">
      <c r="D342" s="40"/>
      <c r="E342" s="40"/>
      <c r="F342" s="40"/>
      <c r="G342" s="40"/>
    </row>
    <row r="343" spans="4:7" x14ac:dyDescent="0.2">
      <c r="D343" s="40"/>
      <c r="E343" s="40"/>
      <c r="F343" s="40"/>
      <c r="G343" s="40"/>
    </row>
    <row r="344" spans="4:7" x14ac:dyDescent="0.2">
      <c r="D344" s="40"/>
      <c r="E344" s="40"/>
      <c r="F344" s="40"/>
      <c r="G344" s="40"/>
    </row>
    <row r="345" spans="4:7" x14ac:dyDescent="0.2">
      <c r="D345" s="40"/>
      <c r="E345" s="40"/>
      <c r="F345" s="40"/>
      <c r="G345" s="40"/>
    </row>
    <row r="346" spans="4:7" x14ac:dyDescent="0.2">
      <c r="D346" s="40"/>
      <c r="E346" s="40"/>
      <c r="F346" s="40"/>
      <c r="G346" s="40"/>
    </row>
    <row r="347" spans="4:7" x14ac:dyDescent="0.2">
      <c r="D347" s="40"/>
      <c r="E347" s="40"/>
      <c r="F347" s="40"/>
      <c r="G347" s="40"/>
    </row>
    <row r="348" spans="4:7" x14ac:dyDescent="0.2">
      <c r="D348" s="40"/>
      <c r="E348" s="40"/>
      <c r="F348" s="40"/>
      <c r="G348" s="40"/>
    </row>
    <row r="349" spans="4:7" x14ac:dyDescent="0.2">
      <c r="D349" s="40"/>
      <c r="E349" s="40"/>
      <c r="F349" s="40"/>
      <c r="G349" s="40"/>
    </row>
    <row r="350" spans="4:7" x14ac:dyDescent="0.2">
      <c r="D350" s="40"/>
      <c r="E350" s="40"/>
      <c r="F350" s="40"/>
      <c r="G350" s="40"/>
    </row>
    <row r="351" spans="4:7" x14ac:dyDescent="0.2">
      <c r="D351" s="40"/>
      <c r="E351" s="40"/>
      <c r="F351" s="40"/>
      <c r="G351" s="40"/>
    </row>
    <row r="352" spans="4:7" x14ac:dyDescent="0.2">
      <c r="D352" s="40"/>
      <c r="E352" s="40"/>
      <c r="F352" s="40"/>
      <c r="G352" s="40"/>
    </row>
    <row r="353" spans="4:7" x14ac:dyDescent="0.2">
      <c r="D353" s="40"/>
      <c r="E353" s="40"/>
      <c r="F353" s="40"/>
      <c r="G353" s="40"/>
    </row>
    <row r="354" spans="4:7" x14ac:dyDescent="0.2">
      <c r="D354" s="40"/>
      <c r="E354" s="40"/>
      <c r="F354" s="40"/>
      <c r="G354" s="40"/>
    </row>
    <row r="355" spans="4:7" x14ac:dyDescent="0.2">
      <c r="D355" s="40"/>
      <c r="E355" s="40"/>
      <c r="F355" s="40"/>
      <c r="G355" s="40"/>
    </row>
    <row r="356" spans="4:7" x14ac:dyDescent="0.2">
      <c r="D356" s="40"/>
      <c r="E356" s="40"/>
      <c r="F356" s="40"/>
      <c r="G356" s="40"/>
    </row>
    <row r="357" spans="4:7" x14ac:dyDescent="0.2">
      <c r="D357" s="40"/>
      <c r="E357" s="40"/>
      <c r="F357" s="40"/>
      <c r="G357" s="40"/>
    </row>
    <row r="358" spans="4:7" x14ac:dyDescent="0.2">
      <c r="D358" s="40"/>
      <c r="E358" s="40"/>
      <c r="F358" s="40"/>
      <c r="G358" s="40"/>
    </row>
    <row r="359" spans="4:7" x14ac:dyDescent="0.2">
      <c r="D359" s="40"/>
      <c r="E359" s="40"/>
      <c r="F359" s="40"/>
      <c r="G359" s="40"/>
    </row>
    <row r="360" spans="4:7" x14ac:dyDescent="0.2">
      <c r="D360" s="40"/>
      <c r="E360" s="40"/>
      <c r="F360" s="40"/>
      <c r="G360" s="40"/>
    </row>
    <row r="361" spans="4:7" x14ac:dyDescent="0.2">
      <c r="D361" s="40"/>
      <c r="E361" s="40"/>
      <c r="F361" s="40"/>
      <c r="G361" s="40"/>
    </row>
    <row r="362" spans="4:7" x14ac:dyDescent="0.2">
      <c r="D362" s="40"/>
      <c r="E362" s="40"/>
      <c r="F362" s="40"/>
      <c r="G362" s="40"/>
    </row>
    <row r="363" spans="4:7" x14ac:dyDescent="0.2">
      <c r="D363" s="40"/>
      <c r="E363" s="40"/>
      <c r="F363" s="40"/>
      <c r="G363" s="40"/>
    </row>
    <row r="364" spans="4:7" x14ac:dyDescent="0.2">
      <c r="D364" s="40"/>
      <c r="E364" s="40"/>
      <c r="F364" s="40"/>
      <c r="G364" s="40"/>
    </row>
    <row r="365" spans="4:7" x14ac:dyDescent="0.2">
      <c r="D365" s="40"/>
      <c r="E365" s="40"/>
      <c r="F365" s="40"/>
      <c r="G365" s="40"/>
    </row>
    <row r="366" spans="4:7" x14ac:dyDescent="0.2">
      <c r="D366" s="40"/>
      <c r="E366" s="40"/>
      <c r="F366" s="40"/>
      <c r="G366" s="40"/>
    </row>
    <row r="367" spans="4:7" x14ac:dyDescent="0.2">
      <c r="D367" s="40"/>
      <c r="E367" s="40"/>
      <c r="F367" s="40"/>
      <c r="G367" s="40"/>
    </row>
    <row r="368" spans="4:7" x14ac:dyDescent="0.2">
      <c r="D368" s="40"/>
      <c r="E368" s="40"/>
      <c r="F368" s="40"/>
      <c r="G368" s="40"/>
    </row>
    <row r="369" spans="4:7" x14ac:dyDescent="0.2">
      <c r="D369" s="40"/>
      <c r="E369" s="40"/>
      <c r="F369" s="40"/>
      <c r="G369" s="40"/>
    </row>
    <row r="370" spans="4:7" x14ac:dyDescent="0.2">
      <c r="D370" s="40"/>
      <c r="E370" s="40"/>
      <c r="F370" s="40"/>
      <c r="G370" s="40"/>
    </row>
    <row r="371" spans="4:7" x14ac:dyDescent="0.2">
      <c r="D371" s="40"/>
      <c r="E371" s="40"/>
      <c r="F371" s="40"/>
      <c r="G371" s="40"/>
    </row>
    <row r="372" spans="4:7" x14ac:dyDescent="0.2">
      <c r="D372" s="40"/>
      <c r="E372" s="40"/>
      <c r="F372" s="40"/>
      <c r="G372" s="40"/>
    </row>
    <row r="373" spans="4:7" x14ac:dyDescent="0.2">
      <c r="D373" s="40"/>
      <c r="E373" s="40"/>
      <c r="F373" s="40"/>
      <c r="G373" s="40"/>
    </row>
    <row r="374" spans="4:7" x14ac:dyDescent="0.2">
      <c r="D374" s="40"/>
      <c r="E374" s="40"/>
      <c r="F374" s="40"/>
      <c r="G374" s="40"/>
    </row>
    <row r="375" spans="4:7" x14ac:dyDescent="0.2">
      <c r="D375" s="40"/>
      <c r="E375" s="40"/>
      <c r="F375" s="40"/>
      <c r="G375" s="40"/>
    </row>
    <row r="376" spans="4:7" x14ac:dyDescent="0.2">
      <c r="D376" s="40"/>
      <c r="E376" s="40"/>
      <c r="F376" s="40"/>
      <c r="G376" s="40"/>
    </row>
    <row r="377" spans="4:7" x14ac:dyDescent="0.2">
      <c r="D377" s="40"/>
      <c r="E377" s="40"/>
      <c r="F377" s="40"/>
      <c r="G377" s="40"/>
    </row>
    <row r="378" spans="4:7" x14ac:dyDescent="0.2">
      <c r="D378" s="40"/>
      <c r="E378" s="40"/>
      <c r="F378" s="40"/>
      <c r="G378" s="40"/>
    </row>
    <row r="379" spans="4:7" x14ac:dyDescent="0.2">
      <c r="D379" s="40"/>
      <c r="E379" s="40"/>
      <c r="F379" s="40"/>
      <c r="G379" s="40"/>
    </row>
    <row r="380" spans="4:7" x14ac:dyDescent="0.2">
      <c r="D380" s="40"/>
      <c r="E380" s="40"/>
      <c r="F380" s="40"/>
      <c r="G380" s="40"/>
    </row>
    <row r="381" spans="4:7" x14ac:dyDescent="0.2">
      <c r="D381" s="40"/>
      <c r="E381" s="40"/>
      <c r="F381" s="40"/>
      <c r="G381" s="40"/>
    </row>
    <row r="382" spans="4:7" x14ac:dyDescent="0.2">
      <c r="D382" s="40"/>
      <c r="E382" s="40"/>
      <c r="F382" s="40"/>
      <c r="G382" s="40"/>
    </row>
    <row r="383" spans="4:7" x14ac:dyDescent="0.2">
      <c r="D383" s="40"/>
      <c r="E383" s="40"/>
      <c r="F383" s="40"/>
      <c r="G383" s="40"/>
    </row>
    <row r="384" spans="4:7" x14ac:dyDescent="0.2">
      <c r="D384" s="40"/>
      <c r="E384" s="40"/>
      <c r="F384" s="40"/>
      <c r="G384" s="40"/>
    </row>
    <row r="385" spans="4:7" x14ac:dyDescent="0.2">
      <c r="D385" s="40"/>
      <c r="E385" s="40"/>
      <c r="F385" s="40"/>
      <c r="G385" s="40"/>
    </row>
    <row r="386" spans="4:7" x14ac:dyDescent="0.2">
      <c r="D386" s="40"/>
      <c r="E386" s="40"/>
      <c r="F386" s="40"/>
      <c r="G386" s="40"/>
    </row>
    <row r="387" spans="4:7" x14ac:dyDescent="0.2">
      <c r="D387" s="40"/>
      <c r="E387" s="40"/>
      <c r="F387" s="40"/>
      <c r="G387" s="40"/>
    </row>
    <row r="388" spans="4:7" x14ac:dyDescent="0.2">
      <c r="D388" s="40"/>
      <c r="E388" s="40"/>
      <c r="F388" s="40"/>
      <c r="G388" s="40"/>
    </row>
    <row r="389" spans="4:7" x14ac:dyDescent="0.2">
      <c r="D389" s="40"/>
      <c r="E389" s="40"/>
      <c r="F389" s="40"/>
      <c r="G389" s="40"/>
    </row>
    <row r="390" spans="4:7" x14ac:dyDescent="0.2">
      <c r="D390" s="40"/>
      <c r="E390" s="40"/>
      <c r="F390" s="40"/>
      <c r="G390" s="40"/>
    </row>
    <row r="391" spans="4:7" x14ac:dyDescent="0.2">
      <c r="D391" s="40"/>
      <c r="E391" s="40"/>
      <c r="F391" s="40"/>
      <c r="G391" s="40"/>
    </row>
    <row r="392" spans="4:7" x14ac:dyDescent="0.2">
      <c r="D392" s="40"/>
      <c r="E392" s="40"/>
      <c r="F392" s="40"/>
      <c r="G392" s="40"/>
    </row>
    <row r="393" spans="4:7" x14ac:dyDescent="0.2">
      <c r="D393" s="40"/>
      <c r="E393" s="40"/>
      <c r="F393" s="40"/>
      <c r="G393" s="40"/>
    </row>
    <row r="394" spans="4:7" x14ac:dyDescent="0.2">
      <c r="D394" s="40"/>
      <c r="E394" s="40"/>
      <c r="F394" s="40"/>
      <c r="G394" s="40"/>
    </row>
    <row r="395" spans="4:7" x14ac:dyDescent="0.2">
      <c r="D395" s="40"/>
      <c r="E395" s="40"/>
      <c r="F395" s="40"/>
      <c r="G395" s="40"/>
    </row>
    <row r="396" spans="4:7" x14ac:dyDescent="0.2">
      <c r="D396" s="40"/>
      <c r="E396" s="40"/>
      <c r="F396" s="40"/>
      <c r="G396" s="40"/>
    </row>
    <row r="397" spans="4:7" x14ac:dyDescent="0.2">
      <c r="D397" s="40"/>
      <c r="E397" s="40"/>
      <c r="F397" s="40"/>
      <c r="G397" s="40"/>
    </row>
    <row r="398" spans="4:7" x14ac:dyDescent="0.2">
      <c r="D398" s="40"/>
      <c r="E398" s="40"/>
      <c r="F398" s="40"/>
      <c r="G398" s="40"/>
    </row>
    <row r="399" spans="4:7" x14ac:dyDescent="0.2">
      <c r="D399" s="40"/>
      <c r="E399" s="40"/>
      <c r="F399" s="40"/>
      <c r="G399" s="40"/>
    </row>
    <row r="400" spans="4:7" x14ac:dyDescent="0.2">
      <c r="D400" s="40"/>
      <c r="E400" s="40"/>
      <c r="F400" s="40"/>
      <c r="G400" s="40"/>
    </row>
    <row r="401" spans="4:7" x14ac:dyDescent="0.2">
      <c r="D401" s="40"/>
      <c r="E401" s="40"/>
      <c r="F401" s="40"/>
      <c r="G401" s="40"/>
    </row>
    <row r="402" spans="4:7" x14ac:dyDescent="0.2">
      <c r="D402" s="40"/>
      <c r="E402" s="40"/>
      <c r="F402" s="40"/>
      <c r="G402" s="40"/>
    </row>
    <row r="403" spans="4:7" x14ac:dyDescent="0.2">
      <c r="D403" s="40"/>
      <c r="E403" s="40"/>
      <c r="F403" s="40"/>
      <c r="G403" s="40"/>
    </row>
    <row r="404" spans="4:7" x14ac:dyDescent="0.2">
      <c r="D404" s="40"/>
      <c r="E404" s="40"/>
      <c r="F404" s="40"/>
      <c r="G404" s="40"/>
    </row>
    <row r="405" spans="4:7" x14ac:dyDescent="0.2">
      <c r="D405" s="40"/>
      <c r="E405" s="40"/>
      <c r="F405" s="40"/>
      <c r="G405" s="40"/>
    </row>
    <row r="406" spans="4:7" x14ac:dyDescent="0.2">
      <c r="D406" s="40"/>
      <c r="E406" s="40"/>
      <c r="F406" s="40"/>
      <c r="G406" s="40"/>
    </row>
    <row r="407" spans="4:7" x14ac:dyDescent="0.2">
      <c r="D407" s="40"/>
      <c r="E407" s="40"/>
      <c r="F407" s="40"/>
      <c r="G407" s="40"/>
    </row>
    <row r="408" spans="4:7" x14ac:dyDescent="0.2">
      <c r="D408" s="40"/>
      <c r="E408" s="40"/>
      <c r="F408" s="40"/>
      <c r="G408" s="40"/>
    </row>
    <row r="409" spans="4:7" x14ac:dyDescent="0.2">
      <c r="D409" s="40"/>
      <c r="E409" s="40"/>
      <c r="F409" s="40"/>
      <c r="G409" s="40"/>
    </row>
    <row r="410" spans="4:7" x14ac:dyDescent="0.2">
      <c r="D410" s="40"/>
      <c r="E410" s="40"/>
      <c r="F410" s="40"/>
      <c r="G410" s="40"/>
    </row>
    <row r="411" spans="4:7" x14ac:dyDescent="0.2">
      <c r="D411" s="40"/>
      <c r="E411" s="40"/>
      <c r="F411" s="40"/>
      <c r="G411" s="40"/>
    </row>
    <row r="412" spans="4:7" x14ac:dyDescent="0.2">
      <c r="D412" s="40"/>
      <c r="E412" s="40"/>
      <c r="F412" s="40"/>
      <c r="G412" s="40"/>
    </row>
    <row r="413" spans="4:7" x14ac:dyDescent="0.2">
      <c r="D413" s="40"/>
      <c r="E413" s="40"/>
      <c r="F413" s="40"/>
      <c r="G413" s="40"/>
    </row>
    <row r="414" spans="4:7" x14ac:dyDescent="0.2">
      <c r="D414" s="40"/>
      <c r="E414" s="40"/>
      <c r="F414" s="40"/>
      <c r="G414" s="40"/>
    </row>
    <row r="415" spans="4:7" x14ac:dyDescent="0.2">
      <c r="D415" s="40"/>
      <c r="E415" s="40"/>
      <c r="F415" s="40"/>
      <c r="G415" s="40"/>
    </row>
    <row r="416" spans="4:7" x14ac:dyDescent="0.2">
      <c r="D416" s="40"/>
      <c r="E416" s="40"/>
      <c r="F416" s="40"/>
      <c r="G416" s="40"/>
    </row>
  </sheetData>
  <sheetProtection password="F507" sheet="1" objects="1" scenarios="1"/>
  <mergeCells count="3">
    <mergeCell ref="F66:G66"/>
    <mergeCell ref="F67:G67"/>
    <mergeCell ref="D70:H70"/>
  </mergeCells>
  <phoneticPr fontId="2" type="noConversion"/>
  <dataValidations xWindow="256" yWindow="130" count="4">
    <dataValidation allowBlank="1" showInputMessage="1" showErrorMessage="1" promptTitle="Filling in series" prompt="Use the Excel Autofill option to fill in series. Enter the first elements in the list. Select these elements and drag the little square in the lower right corner to extend the list._x000a_" sqref="F66"/>
    <dataValidation allowBlank="1" showInputMessage="1" showErrorMessage="1" promptTitle="Number series" prompt="To have 2 digits for e.g. 03, enter the number as string:    '03_x000a_The  '  character is the Excel symbol for string." sqref="F67"/>
    <dataValidation allowBlank="1" showInputMessage="1" showErrorMessage="1" promptTitle="Valid sections and materials" prompt="Enter the Genie command to define valid cross sections and materials for this project. The name given in the Valid column will appear in the pulldown lists in this wizard and is used to define sections and materials for the beams." sqref="C7"/>
    <dataValidation allowBlank="1" showInputMessage="1" showErrorMessage="1" promptTitle="Names in Framework" prompt="Names to be read by Framework may have up to 8 characters. This means that the sum of the 4 string elements must be 8 characters or less." sqref="D70:H70"/>
  </dataValidations>
  <pageMargins left="0.75" right="0.75" top="1" bottom="1" header="0.5" footer="0.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V476"/>
  <sheetViews>
    <sheetView showRowColHeaders="0" workbookViewId="0">
      <selection activeCell="B1" sqref="B1:B65536"/>
    </sheetView>
  </sheetViews>
  <sheetFormatPr defaultRowHeight="12.75" x14ac:dyDescent="0.2"/>
  <cols>
    <col min="1" max="1" width="90" style="58" customWidth="1"/>
    <col min="2" max="2" width="98.5703125" style="45" customWidth="1"/>
    <col min="3" max="3" width="17.7109375" style="45" customWidth="1"/>
    <col min="4" max="16384" width="9.140625" style="45"/>
  </cols>
  <sheetData>
    <row r="1" spans="1:2" x14ac:dyDescent="0.2">
      <c r="A1" s="58" t="s">
        <v>611</v>
      </c>
      <c r="B1" s="45" t="s">
        <v>34</v>
      </c>
    </row>
    <row r="2" spans="1:2" x14ac:dyDescent="0.2">
      <c r="A2" s="58" t="s">
        <v>613</v>
      </c>
      <c r="B2" s="45" t="s">
        <v>435</v>
      </c>
    </row>
    <row r="3" spans="1:2" x14ac:dyDescent="0.2">
      <c r="A3" s="58" t="s">
        <v>34</v>
      </c>
      <c r="B3" s="59" t="s">
        <v>437</v>
      </c>
    </row>
    <row r="4" spans="1:2" x14ac:dyDescent="0.2">
      <c r="A4" s="58" t="s">
        <v>301</v>
      </c>
      <c r="B4" s="59" t="s">
        <v>67</v>
      </c>
    </row>
    <row r="5" spans="1:2" x14ac:dyDescent="0.2">
      <c r="A5" s="58" t="s">
        <v>302</v>
      </c>
      <c r="B5" s="59" t="s">
        <v>63</v>
      </c>
    </row>
    <row r="6" spans="1:2" x14ac:dyDescent="0.2">
      <c r="A6" s="58" t="s">
        <v>290</v>
      </c>
      <c r="B6" s="59" t="s">
        <v>63</v>
      </c>
    </row>
    <row r="7" spans="1:2" x14ac:dyDescent="0.2">
      <c r="A7" s="58" t="s">
        <v>280</v>
      </c>
      <c r="B7" s="59" t="s">
        <v>65</v>
      </c>
    </row>
    <row r="8" spans="1:2" x14ac:dyDescent="0.2">
      <c r="A8" s="58" t="s">
        <v>42</v>
      </c>
      <c r="B8" s="59" t="s">
        <v>64</v>
      </c>
    </row>
    <row r="9" spans="1:2" x14ac:dyDescent="0.2">
      <c r="A9" s="58" t="s">
        <v>386</v>
      </c>
      <c r="B9" s="59" t="s">
        <v>66</v>
      </c>
    </row>
    <row r="10" spans="1:2" x14ac:dyDescent="0.2">
      <c r="A10" s="58" t="s">
        <v>356</v>
      </c>
      <c r="B10" s="59" t="s">
        <v>218</v>
      </c>
    </row>
    <row r="11" spans="1:2" x14ac:dyDescent="0.2">
      <c r="A11" s="58" t="s">
        <v>357</v>
      </c>
      <c r="B11" s="45" t="s">
        <v>34</v>
      </c>
    </row>
    <row r="12" spans="1:2" x14ac:dyDescent="0.2">
      <c r="A12" s="58" t="s">
        <v>358</v>
      </c>
      <c r="B12" s="45" t="s">
        <v>34</v>
      </c>
    </row>
    <row r="13" spans="1:2" x14ac:dyDescent="0.2">
      <c r="A13" s="58" t="s">
        <v>359</v>
      </c>
      <c r="B13" s="45" t="s">
        <v>83</v>
      </c>
    </row>
    <row r="14" spans="1:2" x14ac:dyDescent="0.2">
      <c r="A14" s="58" t="s">
        <v>360</v>
      </c>
      <c r="B14" s="45" t="s">
        <v>84</v>
      </c>
    </row>
    <row r="15" spans="1:2" x14ac:dyDescent="0.2">
      <c r="A15" s="58" t="s">
        <v>367</v>
      </c>
      <c r="B15" s="45" t="s">
        <v>85</v>
      </c>
    </row>
    <row r="16" spans="1:2" x14ac:dyDescent="0.2">
      <c r="A16" s="58" t="s">
        <v>369</v>
      </c>
      <c r="B16" s="45" t="s">
        <v>86</v>
      </c>
    </row>
    <row r="17" spans="1:2" x14ac:dyDescent="0.2">
      <c r="A17" s="58" t="s">
        <v>372</v>
      </c>
      <c r="B17" s="45" t="s">
        <v>80</v>
      </c>
    </row>
    <row r="18" spans="1:2" x14ac:dyDescent="0.2">
      <c r="A18" s="58" t="s">
        <v>370</v>
      </c>
      <c r="B18" s="45" t="s">
        <v>34</v>
      </c>
    </row>
    <row r="19" spans="1:2" x14ac:dyDescent="0.2">
      <c r="A19" s="58" t="s">
        <v>34</v>
      </c>
      <c r="B19" s="45" t="s">
        <v>219</v>
      </c>
    </row>
    <row r="20" spans="1:2" x14ac:dyDescent="0.2">
      <c r="A20" s="58" t="s">
        <v>378</v>
      </c>
      <c r="B20" s="45" t="s">
        <v>47</v>
      </c>
    </row>
    <row r="21" spans="1:2" x14ac:dyDescent="0.2">
      <c r="A21" s="58" t="s">
        <v>379</v>
      </c>
      <c r="B21" s="45" t="s">
        <v>48</v>
      </c>
    </row>
    <row r="22" spans="1:2" x14ac:dyDescent="0.2">
      <c r="A22" s="58" t="s">
        <v>380</v>
      </c>
      <c r="B22" s="45" t="s">
        <v>220</v>
      </c>
    </row>
    <row r="23" spans="1:2" x14ac:dyDescent="0.2">
      <c r="A23" s="58" t="s">
        <v>381</v>
      </c>
      <c r="B23" s="45" t="s">
        <v>221</v>
      </c>
    </row>
    <row r="24" spans="1:2" x14ac:dyDescent="0.2">
      <c r="A24" s="58" t="s">
        <v>382</v>
      </c>
      <c r="B24" s="45" t="s">
        <v>222</v>
      </c>
    </row>
    <row r="25" spans="1:2" x14ac:dyDescent="0.2">
      <c r="A25" s="58" t="s">
        <v>349</v>
      </c>
      <c r="B25" s="45" t="s">
        <v>49</v>
      </c>
    </row>
    <row r="26" spans="1:2" x14ac:dyDescent="0.2">
      <c r="A26" s="58" t="s">
        <v>34</v>
      </c>
      <c r="B26" s="45" t="s">
        <v>50</v>
      </c>
    </row>
    <row r="27" spans="1:2" x14ac:dyDescent="0.2">
      <c r="A27" s="58" t="s">
        <v>571</v>
      </c>
      <c r="B27" s="45" t="s">
        <v>442</v>
      </c>
    </row>
    <row r="28" spans="1:2" x14ac:dyDescent="0.2">
      <c r="A28" s="58" t="s">
        <v>573</v>
      </c>
      <c r="B28" s="45" t="s">
        <v>87</v>
      </c>
    </row>
    <row r="29" spans="1:2" x14ac:dyDescent="0.2">
      <c r="A29" s="58" t="s">
        <v>575</v>
      </c>
      <c r="B29" s="45" t="s">
        <v>88</v>
      </c>
    </row>
    <row r="30" spans="1:2" x14ac:dyDescent="0.2">
      <c r="A30" s="58" t="s">
        <v>43</v>
      </c>
      <c r="B30" s="45" t="s">
        <v>410</v>
      </c>
    </row>
    <row r="31" spans="1:2" x14ac:dyDescent="0.2">
      <c r="A31" s="58" t="s">
        <v>375</v>
      </c>
      <c r="B31" s="45" t="s">
        <v>223</v>
      </c>
    </row>
    <row r="32" spans="1:2" x14ac:dyDescent="0.2">
      <c r="A32" s="58" t="s">
        <v>376</v>
      </c>
      <c r="B32" s="45" t="s">
        <v>51</v>
      </c>
    </row>
    <row r="33" spans="1:256" x14ac:dyDescent="0.2">
      <c r="A33" s="58" t="s">
        <v>377</v>
      </c>
      <c r="B33" s="45" t="s">
        <v>411</v>
      </c>
    </row>
    <row r="34" spans="1:256" x14ac:dyDescent="0.2">
      <c r="A34" s="58" t="s">
        <v>383</v>
      </c>
      <c r="B34" s="45" t="s">
        <v>265</v>
      </c>
    </row>
    <row r="35" spans="1:256" x14ac:dyDescent="0.2">
      <c r="A35" s="58" t="s">
        <v>501</v>
      </c>
      <c r="B35" s="45" t="s">
        <v>266</v>
      </c>
    </row>
    <row r="36" spans="1:256" x14ac:dyDescent="0.2">
      <c r="A36" s="58" t="s">
        <v>543</v>
      </c>
      <c r="B36" s="45" t="s">
        <v>441</v>
      </c>
    </row>
    <row r="37" spans="1:256" x14ac:dyDescent="0.2">
      <c r="A37" s="45" t="s">
        <v>77</v>
      </c>
      <c r="B37" s="45" t="s">
        <v>224</v>
      </c>
      <c r="D37" s="45" t="s">
        <v>415</v>
      </c>
      <c r="E37" s="45" t="s">
        <v>415</v>
      </c>
      <c r="F37" s="45" t="s">
        <v>415</v>
      </c>
      <c r="G37" s="45" t="s">
        <v>415</v>
      </c>
      <c r="H37" s="45" t="s">
        <v>415</v>
      </c>
      <c r="I37" s="45" t="s">
        <v>415</v>
      </c>
      <c r="J37" s="45" t="s">
        <v>415</v>
      </c>
      <c r="K37" s="45" t="s">
        <v>415</v>
      </c>
      <c r="L37" s="45" t="s">
        <v>415</v>
      </c>
      <c r="M37" s="45" t="s">
        <v>415</v>
      </c>
      <c r="N37" s="45" t="s">
        <v>415</v>
      </c>
      <c r="O37" s="45" t="s">
        <v>415</v>
      </c>
      <c r="P37" s="45" t="s">
        <v>415</v>
      </c>
      <c r="Q37" s="45" t="s">
        <v>415</v>
      </c>
      <c r="R37" s="45" t="s">
        <v>415</v>
      </c>
      <c r="S37" s="45" t="s">
        <v>415</v>
      </c>
      <c r="T37" s="45" t="s">
        <v>415</v>
      </c>
      <c r="U37" s="45" t="s">
        <v>415</v>
      </c>
      <c r="V37" s="45" t="s">
        <v>415</v>
      </c>
      <c r="W37" s="45" t="s">
        <v>415</v>
      </c>
      <c r="X37" s="45" t="s">
        <v>415</v>
      </c>
      <c r="Y37" s="45" t="s">
        <v>415</v>
      </c>
      <c r="Z37" s="45" t="s">
        <v>415</v>
      </c>
      <c r="AA37" s="45" t="s">
        <v>415</v>
      </c>
      <c r="AB37" s="45" t="s">
        <v>415</v>
      </c>
      <c r="AC37" s="45" t="s">
        <v>415</v>
      </c>
      <c r="AD37" s="45" t="s">
        <v>415</v>
      </c>
      <c r="AE37" s="45" t="s">
        <v>415</v>
      </c>
      <c r="AF37" s="45" t="s">
        <v>415</v>
      </c>
      <c r="AG37" s="45" t="s">
        <v>415</v>
      </c>
      <c r="AH37" s="45" t="s">
        <v>415</v>
      </c>
      <c r="AI37" s="45" t="s">
        <v>415</v>
      </c>
      <c r="AJ37" s="45" t="s">
        <v>415</v>
      </c>
      <c r="AK37" s="45" t="s">
        <v>415</v>
      </c>
      <c r="AL37" s="45" t="s">
        <v>415</v>
      </c>
      <c r="AM37" s="45" t="s">
        <v>415</v>
      </c>
      <c r="AN37" s="45" t="s">
        <v>415</v>
      </c>
      <c r="AO37" s="45" t="s">
        <v>415</v>
      </c>
      <c r="AP37" s="45" t="s">
        <v>415</v>
      </c>
      <c r="AQ37" s="45" t="s">
        <v>415</v>
      </c>
      <c r="AR37" s="45" t="s">
        <v>415</v>
      </c>
      <c r="AS37" s="45" t="s">
        <v>415</v>
      </c>
      <c r="AT37" s="45" t="s">
        <v>415</v>
      </c>
      <c r="AU37" s="45" t="s">
        <v>415</v>
      </c>
      <c r="AV37" s="45" t="s">
        <v>415</v>
      </c>
      <c r="AW37" s="45" t="s">
        <v>415</v>
      </c>
      <c r="AX37" s="45" t="s">
        <v>415</v>
      </c>
      <c r="AY37" s="45" t="s">
        <v>415</v>
      </c>
      <c r="AZ37" s="45" t="s">
        <v>415</v>
      </c>
      <c r="BA37" s="45" t="s">
        <v>415</v>
      </c>
      <c r="BB37" s="45" t="s">
        <v>415</v>
      </c>
      <c r="BC37" s="45" t="s">
        <v>415</v>
      </c>
      <c r="BD37" s="45" t="s">
        <v>415</v>
      </c>
      <c r="BE37" s="45" t="s">
        <v>415</v>
      </c>
      <c r="BF37" s="45" t="s">
        <v>415</v>
      </c>
      <c r="BG37" s="45" t="s">
        <v>415</v>
      </c>
      <c r="BH37" s="45" t="s">
        <v>415</v>
      </c>
      <c r="BI37" s="45" t="s">
        <v>415</v>
      </c>
      <c r="BJ37" s="45" t="s">
        <v>415</v>
      </c>
      <c r="BK37" s="45" t="s">
        <v>415</v>
      </c>
      <c r="BL37" s="45" t="s">
        <v>415</v>
      </c>
      <c r="BM37" s="45" t="s">
        <v>415</v>
      </c>
      <c r="BN37" s="45" t="s">
        <v>415</v>
      </c>
      <c r="BO37" s="45" t="s">
        <v>415</v>
      </c>
      <c r="BP37" s="45" t="s">
        <v>415</v>
      </c>
      <c r="BQ37" s="45" t="s">
        <v>415</v>
      </c>
      <c r="BR37" s="45" t="s">
        <v>415</v>
      </c>
      <c r="BS37" s="45" t="s">
        <v>415</v>
      </c>
      <c r="BT37" s="45" t="s">
        <v>415</v>
      </c>
      <c r="BU37" s="45" t="s">
        <v>415</v>
      </c>
      <c r="BV37" s="45" t="s">
        <v>415</v>
      </c>
      <c r="BW37" s="45" t="s">
        <v>415</v>
      </c>
      <c r="BX37" s="45" t="s">
        <v>415</v>
      </c>
      <c r="BY37" s="45" t="s">
        <v>415</v>
      </c>
      <c r="BZ37" s="45" t="s">
        <v>415</v>
      </c>
      <c r="CA37" s="45" t="s">
        <v>415</v>
      </c>
      <c r="CB37" s="45" t="s">
        <v>415</v>
      </c>
      <c r="CC37" s="45" t="s">
        <v>415</v>
      </c>
      <c r="CD37" s="45" t="s">
        <v>415</v>
      </c>
      <c r="CE37" s="45" t="s">
        <v>415</v>
      </c>
      <c r="CF37" s="45" t="s">
        <v>415</v>
      </c>
      <c r="CG37" s="45" t="s">
        <v>415</v>
      </c>
      <c r="CH37" s="45" t="s">
        <v>415</v>
      </c>
      <c r="CI37" s="45" t="s">
        <v>415</v>
      </c>
      <c r="CJ37" s="45" t="s">
        <v>415</v>
      </c>
      <c r="CK37" s="45" t="s">
        <v>415</v>
      </c>
      <c r="CL37" s="45" t="s">
        <v>415</v>
      </c>
      <c r="CM37" s="45" t="s">
        <v>415</v>
      </c>
      <c r="CN37" s="45" t="s">
        <v>415</v>
      </c>
      <c r="CO37" s="45" t="s">
        <v>415</v>
      </c>
      <c r="CP37" s="45" t="s">
        <v>415</v>
      </c>
      <c r="CQ37" s="45" t="s">
        <v>415</v>
      </c>
      <c r="CR37" s="45" t="s">
        <v>415</v>
      </c>
      <c r="CS37" s="45" t="s">
        <v>415</v>
      </c>
      <c r="CT37" s="45" t="s">
        <v>415</v>
      </c>
      <c r="CU37" s="45" t="s">
        <v>415</v>
      </c>
      <c r="CV37" s="45" t="s">
        <v>415</v>
      </c>
      <c r="CW37" s="45" t="s">
        <v>415</v>
      </c>
      <c r="CX37" s="45" t="s">
        <v>415</v>
      </c>
      <c r="CY37" s="45" t="s">
        <v>415</v>
      </c>
      <c r="CZ37" s="45" t="s">
        <v>415</v>
      </c>
      <c r="DA37" s="45" t="s">
        <v>415</v>
      </c>
      <c r="DB37" s="45" t="s">
        <v>415</v>
      </c>
      <c r="DC37" s="45" t="s">
        <v>415</v>
      </c>
      <c r="DD37" s="45" t="s">
        <v>415</v>
      </c>
      <c r="DE37" s="45" t="s">
        <v>415</v>
      </c>
      <c r="DF37" s="45" t="s">
        <v>415</v>
      </c>
      <c r="DG37" s="45" t="s">
        <v>415</v>
      </c>
      <c r="DH37" s="45" t="s">
        <v>415</v>
      </c>
      <c r="DI37" s="45" t="s">
        <v>415</v>
      </c>
      <c r="DJ37" s="45" t="s">
        <v>415</v>
      </c>
      <c r="DK37" s="45" t="s">
        <v>415</v>
      </c>
      <c r="DL37" s="45" t="s">
        <v>415</v>
      </c>
      <c r="DM37" s="45" t="s">
        <v>415</v>
      </c>
      <c r="DN37" s="45" t="s">
        <v>415</v>
      </c>
      <c r="DO37" s="45" t="s">
        <v>415</v>
      </c>
      <c r="DP37" s="45" t="s">
        <v>415</v>
      </c>
      <c r="DQ37" s="45" t="s">
        <v>415</v>
      </c>
      <c r="DR37" s="45" t="s">
        <v>415</v>
      </c>
      <c r="DS37" s="45" t="s">
        <v>415</v>
      </c>
      <c r="DT37" s="45" t="s">
        <v>415</v>
      </c>
      <c r="DU37" s="45" t="s">
        <v>415</v>
      </c>
      <c r="DV37" s="45" t="s">
        <v>415</v>
      </c>
      <c r="DW37" s="45" t="s">
        <v>415</v>
      </c>
      <c r="DX37" s="45" t="s">
        <v>415</v>
      </c>
      <c r="DY37" s="45" t="s">
        <v>415</v>
      </c>
      <c r="DZ37" s="45" t="s">
        <v>415</v>
      </c>
      <c r="EA37" s="45" t="s">
        <v>415</v>
      </c>
      <c r="EB37" s="45" t="s">
        <v>415</v>
      </c>
      <c r="EC37" s="45" t="s">
        <v>415</v>
      </c>
      <c r="ED37" s="45" t="s">
        <v>415</v>
      </c>
      <c r="EE37" s="45" t="s">
        <v>415</v>
      </c>
      <c r="EF37" s="45" t="s">
        <v>415</v>
      </c>
      <c r="EG37" s="45" t="s">
        <v>415</v>
      </c>
      <c r="EH37" s="45" t="s">
        <v>415</v>
      </c>
      <c r="EI37" s="45" t="s">
        <v>415</v>
      </c>
      <c r="EJ37" s="45" t="s">
        <v>415</v>
      </c>
      <c r="EK37" s="45" t="s">
        <v>415</v>
      </c>
      <c r="EL37" s="45" t="s">
        <v>415</v>
      </c>
      <c r="EM37" s="45" t="s">
        <v>415</v>
      </c>
      <c r="EN37" s="45" t="s">
        <v>415</v>
      </c>
      <c r="EO37" s="45" t="s">
        <v>415</v>
      </c>
      <c r="EP37" s="45" t="s">
        <v>415</v>
      </c>
      <c r="EQ37" s="45" t="s">
        <v>415</v>
      </c>
      <c r="ER37" s="45" t="s">
        <v>415</v>
      </c>
      <c r="ES37" s="45" t="s">
        <v>415</v>
      </c>
      <c r="ET37" s="45" t="s">
        <v>415</v>
      </c>
      <c r="EU37" s="45" t="s">
        <v>415</v>
      </c>
      <c r="EV37" s="45" t="s">
        <v>415</v>
      </c>
      <c r="EW37" s="45" t="s">
        <v>415</v>
      </c>
      <c r="EX37" s="45" t="s">
        <v>415</v>
      </c>
      <c r="EY37" s="45" t="s">
        <v>415</v>
      </c>
      <c r="EZ37" s="45" t="s">
        <v>415</v>
      </c>
      <c r="FA37" s="45" t="s">
        <v>415</v>
      </c>
      <c r="FB37" s="45" t="s">
        <v>415</v>
      </c>
      <c r="FC37" s="45" t="s">
        <v>415</v>
      </c>
      <c r="FD37" s="45" t="s">
        <v>415</v>
      </c>
      <c r="FE37" s="45" t="s">
        <v>415</v>
      </c>
      <c r="FF37" s="45" t="s">
        <v>415</v>
      </c>
      <c r="FG37" s="45" t="s">
        <v>415</v>
      </c>
      <c r="FH37" s="45" t="s">
        <v>415</v>
      </c>
      <c r="FI37" s="45" t="s">
        <v>415</v>
      </c>
      <c r="FJ37" s="45" t="s">
        <v>415</v>
      </c>
      <c r="FK37" s="45" t="s">
        <v>415</v>
      </c>
      <c r="FL37" s="45" t="s">
        <v>415</v>
      </c>
      <c r="FM37" s="45" t="s">
        <v>415</v>
      </c>
      <c r="FN37" s="45" t="s">
        <v>415</v>
      </c>
      <c r="FO37" s="45" t="s">
        <v>415</v>
      </c>
      <c r="FP37" s="45" t="s">
        <v>415</v>
      </c>
      <c r="FQ37" s="45" t="s">
        <v>415</v>
      </c>
      <c r="FR37" s="45" t="s">
        <v>415</v>
      </c>
      <c r="FS37" s="45" t="s">
        <v>415</v>
      </c>
      <c r="FT37" s="45" t="s">
        <v>415</v>
      </c>
      <c r="FU37" s="45" t="s">
        <v>415</v>
      </c>
      <c r="FV37" s="45" t="s">
        <v>415</v>
      </c>
      <c r="FW37" s="45" t="s">
        <v>415</v>
      </c>
      <c r="FX37" s="45" t="s">
        <v>415</v>
      </c>
      <c r="FY37" s="45" t="s">
        <v>415</v>
      </c>
      <c r="FZ37" s="45" t="s">
        <v>415</v>
      </c>
      <c r="GA37" s="45" t="s">
        <v>415</v>
      </c>
      <c r="GB37" s="45" t="s">
        <v>415</v>
      </c>
      <c r="GC37" s="45" t="s">
        <v>415</v>
      </c>
      <c r="GD37" s="45" t="s">
        <v>415</v>
      </c>
      <c r="GE37" s="45" t="s">
        <v>415</v>
      </c>
      <c r="GF37" s="45" t="s">
        <v>415</v>
      </c>
      <c r="GG37" s="45" t="s">
        <v>415</v>
      </c>
      <c r="GH37" s="45" t="s">
        <v>415</v>
      </c>
      <c r="GI37" s="45" t="s">
        <v>415</v>
      </c>
      <c r="GJ37" s="45" t="s">
        <v>415</v>
      </c>
      <c r="GK37" s="45" t="s">
        <v>415</v>
      </c>
      <c r="GL37" s="45" t="s">
        <v>415</v>
      </c>
      <c r="GM37" s="45" t="s">
        <v>415</v>
      </c>
      <c r="GN37" s="45" t="s">
        <v>415</v>
      </c>
      <c r="GO37" s="45" t="s">
        <v>415</v>
      </c>
      <c r="GP37" s="45" t="s">
        <v>415</v>
      </c>
      <c r="GQ37" s="45" t="s">
        <v>415</v>
      </c>
      <c r="GR37" s="45" t="s">
        <v>415</v>
      </c>
      <c r="GS37" s="45" t="s">
        <v>415</v>
      </c>
      <c r="GT37" s="45" t="s">
        <v>415</v>
      </c>
      <c r="GU37" s="45" t="s">
        <v>415</v>
      </c>
      <c r="GV37" s="45" t="s">
        <v>415</v>
      </c>
      <c r="GW37" s="45" t="s">
        <v>415</v>
      </c>
      <c r="GX37" s="45" t="s">
        <v>415</v>
      </c>
      <c r="GY37" s="45" t="s">
        <v>415</v>
      </c>
      <c r="GZ37" s="45" t="s">
        <v>415</v>
      </c>
      <c r="HA37" s="45" t="s">
        <v>415</v>
      </c>
      <c r="HB37" s="45" t="s">
        <v>415</v>
      </c>
      <c r="HC37" s="45" t="s">
        <v>415</v>
      </c>
      <c r="HD37" s="45" t="s">
        <v>415</v>
      </c>
      <c r="HE37" s="45" t="s">
        <v>415</v>
      </c>
      <c r="HF37" s="45" t="s">
        <v>415</v>
      </c>
      <c r="HG37" s="45" t="s">
        <v>415</v>
      </c>
      <c r="HH37" s="45" t="s">
        <v>415</v>
      </c>
      <c r="HI37" s="45" t="s">
        <v>415</v>
      </c>
      <c r="HJ37" s="45" t="s">
        <v>415</v>
      </c>
      <c r="HK37" s="45" t="s">
        <v>415</v>
      </c>
      <c r="HL37" s="45" t="s">
        <v>415</v>
      </c>
      <c r="HM37" s="45" t="s">
        <v>415</v>
      </c>
      <c r="HN37" s="45" t="s">
        <v>415</v>
      </c>
      <c r="HO37" s="45" t="s">
        <v>415</v>
      </c>
      <c r="HP37" s="45" t="s">
        <v>415</v>
      </c>
      <c r="HQ37" s="45" t="s">
        <v>415</v>
      </c>
      <c r="HR37" s="45" t="s">
        <v>415</v>
      </c>
      <c r="HS37" s="45" t="s">
        <v>415</v>
      </c>
      <c r="HT37" s="45" t="s">
        <v>415</v>
      </c>
      <c r="HU37" s="45" t="s">
        <v>415</v>
      </c>
      <c r="HV37" s="45" t="s">
        <v>415</v>
      </c>
      <c r="HW37" s="45" t="s">
        <v>415</v>
      </c>
      <c r="HX37" s="45" t="s">
        <v>415</v>
      </c>
      <c r="HY37" s="45" t="s">
        <v>415</v>
      </c>
      <c r="HZ37" s="45" t="s">
        <v>415</v>
      </c>
      <c r="IA37" s="45" t="s">
        <v>415</v>
      </c>
      <c r="IB37" s="45" t="s">
        <v>415</v>
      </c>
      <c r="IC37" s="45" t="s">
        <v>415</v>
      </c>
      <c r="ID37" s="45" t="s">
        <v>415</v>
      </c>
      <c r="IE37" s="45" t="s">
        <v>415</v>
      </c>
      <c r="IF37" s="45" t="s">
        <v>415</v>
      </c>
      <c r="IG37" s="45" t="s">
        <v>415</v>
      </c>
      <c r="IH37" s="45" t="s">
        <v>415</v>
      </c>
      <c r="II37" s="45" t="s">
        <v>415</v>
      </c>
      <c r="IJ37" s="45" t="s">
        <v>415</v>
      </c>
      <c r="IK37" s="45" t="s">
        <v>415</v>
      </c>
      <c r="IL37" s="45" t="s">
        <v>415</v>
      </c>
      <c r="IM37" s="45" t="s">
        <v>415</v>
      </c>
      <c r="IN37" s="45" t="s">
        <v>415</v>
      </c>
      <c r="IO37" s="45" t="s">
        <v>415</v>
      </c>
      <c r="IP37" s="45" t="s">
        <v>415</v>
      </c>
      <c r="IQ37" s="45" t="s">
        <v>415</v>
      </c>
      <c r="IR37" s="45" t="s">
        <v>415</v>
      </c>
      <c r="IS37" s="45" t="s">
        <v>415</v>
      </c>
      <c r="IT37" s="45" t="s">
        <v>415</v>
      </c>
      <c r="IU37" s="45" t="s">
        <v>415</v>
      </c>
      <c r="IV37" s="45" t="s">
        <v>415</v>
      </c>
    </row>
    <row r="38" spans="1:256" x14ac:dyDescent="0.2">
      <c r="A38" s="58" t="s">
        <v>35</v>
      </c>
      <c r="B38" s="45" t="s">
        <v>52</v>
      </c>
    </row>
    <row r="39" spans="1:256" x14ac:dyDescent="0.2">
      <c r="A39" s="58" t="s">
        <v>38</v>
      </c>
      <c r="B39" s="45" t="s">
        <v>225</v>
      </c>
    </row>
    <row r="40" spans="1:256" x14ac:dyDescent="0.2">
      <c r="A40" s="58" t="s">
        <v>39</v>
      </c>
      <c r="B40" s="45" t="s">
        <v>112</v>
      </c>
    </row>
    <row r="41" spans="1:256" x14ac:dyDescent="0.2">
      <c r="A41" s="58" t="s">
        <v>40</v>
      </c>
      <c r="B41" s="45" t="s">
        <v>53</v>
      </c>
    </row>
    <row r="42" spans="1:256" x14ac:dyDescent="0.2">
      <c r="A42" s="58" t="s">
        <v>41</v>
      </c>
      <c r="B42" s="45" t="s">
        <v>54</v>
      </c>
    </row>
    <row r="43" spans="1:256" x14ac:dyDescent="0.2">
      <c r="A43" s="58" t="s">
        <v>398</v>
      </c>
      <c r="B43" s="59" t="s">
        <v>53</v>
      </c>
    </row>
    <row r="44" spans="1:256" x14ac:dyDescent="0.2">
      <c r="A44" s="58" t="s">
        <v>399</v>
      </c>
      <c r="B44" s="45" t="s">
        <v>113</v>
      </c>
    </row>
    <row r="45" spans="1:256" x14ac:dyDescent="0.2">
      <c r="A45" s="58" t="s">
        <v>461</v>
      </c>
      <c r="B45" s="45" t="s">
        <v>226</v>
      </c>
    </row>
    <row r="46" spans="1:256" x14ac:dyDescent="0.2">
      <c r="A46" s="58" t="s">
        <v>462</v>
      </c>
      <c r="B46" s="45" t="s">
        <v>227</v>
      </c>
    </row>
    <row r="47" spans="1:256" x14ac:dyDescent="0.2">
      <c r="A47" s="58" t="s">
        <v>71</v>
      </c>
      <c r="B47" s="45" t="s">
        <v>228</v>
      </c>
    </row>
    <row r="48" spans="1:256" x14ac:dyDescent="0.2">
      <c r="A48" s="58" t="s">
        <v>72</v>
      </c>
      <c r="B48" s="45" t="s">
        <v>55</v>
      </c>
    </row>
    <row r="49" spans="1:2" x14ac:dyDescent="0.2">
      <c r="A49" s="58" t="s">
        <v>269</v>
      </c>
      <c r="B49" s="45" t="s">
        <v>56</v>
      </c>
    </row>
    <row r="50" spans="1:2" x14ac:dyDescent="0.2">
      <c r="A50" s="58" t="s">
        <v>270</v>
      </c>
      <c r="B50" s="45" t="s">
        <v>53</v>
      </c>
    </row>
    <row r="51" spans="1:2" x14ac:dyDescent="0.2">
      <c r="A51" s="58" t="s">
        <v>271</v>
      </c>
      <c r="B51" s="45" t="s">
        <v>113</v>
      </c>
    </row>
    <row r="52" spans="1:2" x14ac:dyDescent="0.2">
      <c r="A52" s="58" t="s">
        <v>272</v>
      </c>
      <c r="B52" s="45" t="s">
        <v>229</v>
      </c>
    </row>
    <row r="53" spans="1:2" x14ac:dyDescent="0.2">
      <c r="A53" s="58" t="s">
        <v>62</v>
      </c>
      <c r="B53" s="45" t="s">
        <v>227</v>
      </c>
    </row>
    <row r="54" spans="1:2" x14ac:dyDescent="0.2">
      <c r="A54" s="58" t="s">
        <v>544</v>
      </c>
      <c r="B54" s="45" t="s">
        <v>230</v>
      </c>
    </row>
    <row r="55" spans="1:2" x14ac:dyDescent="0.2">
      <c r="A55" s="58" t="s">
        <v>545</v>
      </c>
      <c r="B55" s="45" t="s">
        <v>53</v>
      </c>
    </row>
    <row r="56" spans="1:2" x14ac:dyDescent="0.2">
      <c r="A56" s="58" t="s">
        <v>580</v>
      </c>
      <c r="B56" s="45" t="s">
        <v>114</v>
      </c>
    </row>
    <row r="57" spans="1:2" x14ac:dyDescent="0.2">
      <c r="A57" s="58" t="s">
        <v>581</v>
      </c>
      <c r="B57" s="45" t="s">
        <v>231</v>
      </c>
    </row>
    <row r="58" spans="1:2" x14ac:dyDescent="0.2">
      <c r="A58" s="58" t="s">
        <v>582</v>
      </c>
      <c r="B58" s="45" t="s">
        <v>232</v>
      </c>
    </row>
    <row r="59" spans="1:2" x14ac:dyDescent="0.2">
      <c r="A59" s="58" t="s">
        <v>614</v>
      </c>
      <c r="B59" s="45" t="s">
        <v>233</v>
      </c>
    </row>
    <row r="60" spans="1:2" x14ac:dyDescent="0.2">
      <c r="A60" s="58" t="s">
        <v>615</v>
      </c>
      <c r="B60" s="45" t="s">
        <v>57</v>
      </c>
    </row>
    <row r="61" spans="1:2" x14ac:dyDescent="0.2">
      <c r="A61" s="58" t="s">
        <v>616</v>
      </c>
      <c r="B61" s="45" t="s">
        <v>115</v>
      </c>
    </row>
    <row r="62" spans="1:2" x14ac:dyDescent="0.2">
      <c r="A62" s="58" t="s">
        <v>617</v>
      </c>
      <c r="B62" s="45" t="s">
        <v>438</v>
      </c>
    </row>
    <row r="63" spans="1:2" x14ac:dyDescent="0.2">
      <c r="A63" s="58" t="s">
        <v>618</v>
      </c>
      <c r="B63" s="45" t="s">
        <v>439</v>
      </c>
    </row>
    <row r="64" spans="1:2" x14ac:dyDescent="0.2">
      <c r="A64" s="58" t="s">
        <v>129</v>
      </c>
      <c r="B64" s="45" t="s">
        <v>460</v>
      </c>
    </row>
    <row r="65" spans="1:2" x14ac:dyDescent="0.2">
      <c r="A65" s="58" t="s">
        <v>546</v>
      </c>
      <c r="B65" s="45" t="s">
        <v>469</v>
      </c>
    </row>
    <row r="66" spans="1:2" x14ac:dyDescent="0.2">
      <c r="A66" s="58" t="s">
        <v>547</v>
      </c>
      <c r="B66" s="45" t="s">
        <v>475</v>
      </c>
    </row>
    <row r="67" spans="1:2" x14ac:dyDescent="0.2">
      <c r="A67" s="58" t="s">
        <v>583</v>
      </c>
      <c r="B67" s="45" t="s">
        <v>472</v>
      </c>
    </row>
    <row r="68" spans="1:2" x14ac:dyDescent="0.2">
      <c r="A68" s="58" t="s">
        <v>584</v>
      </c>
      <c r="B68" s="45" t="s">
        <v>440</v>
      </c>
    </row>
    <row r="69" spans="1:2" x14ac:dyDescent="0.2">
      <c r="A69" s="58" t="s">
        <v>585</v>
      </c>
      <c r="B69" s="45" t="s">
        <v>474</v>
      </c>
    </row>
    <row r="70" spans="1:2" x14ac:dyDescent="0.2">
      <c r="A70" s="58" t="s">
        <v>619</v>
      </c>
      <c r="B70" s="45" t="s">
        <v>473</v>
      </c>
    </row>
    <row r="71" spans="1:2" x14ac:dyDescent="0.2">
      <c r="A71" s="58" t="s">
        <v>620</v>
      </c>
      <c r="B71" s="45" t="s">
        <v>440</v>
      </c>
    </row>
    <row r="72" spans="1:2" x14ac:dyDescent="0.2">
      <c r="A72" s="58" t="s">
        <v>621</v>
      </c>
      <c r="B72" s="45" t="s">
        <v>456</v>
      </c>
    </row>
    <row r="73" spans="1:2" x14ac:dyDescent="0.2">
      <c r="A73" s="58" t="s">
        <v>622</v>
      </c>
      <c r="B73" s="45" t="s">
        <v>234</v>
      </c>
    </row>
    <row r="74" spans="1:2" x14ac:dyDescent="0.2">
      <c r="A74" s="58" t="s">
        <v>623</v>
      </c>
      <c r="B74" s="45" t="s">
        <v>58</v>
      </c>
    </row>
    <row r="75" spans="1:2" x14ac:dyDescent="0.2">
      <c r="A75" s="58" t="s">
        <v>130</v>
      </c>
      <c r="B75" s="45" t="s">
        <v>59</v>
      </c>
    </row>
    <row r="76" spans="1:2" x14ac:dyDescent="0.2">
      <c r="A76" s="58" t="s">
        <v>521</v>
      </c>
      <c r="B76" s="45" t="s">
        <v>235</v>
      </c>
    </row>
    <row r="77" spans="1:2" x14ac:dyDescent="0.2">
      <c r="A77" s="58" t="s">
        <v>522</v>
      </c>
      <c r="B77" s="45" t="s">
        <v>236</v>
      </c>
    </row>
    <row r="78" spans="1:2" x14ac:dyDescent="0.2">
      <c r="A78" s="58" t="s">
        <v>523</v>
      </c>
      <c r="B78" s="45" t="s">
        <v>237</v>
      </c>
    </row>
    <row r="79" spans="1:2" x14ac:dyDescent="0.2">
      <c r="A79" s="58" t="s">
        <v>524</v>
      </c>
      <c r="B79" s="45" t="s">
        <v>238</v>
      </c>
    </row>
    <row r="80" spans="1:2" x14ac:dyDescent="0.2">
      <c r="A80" s="58" t="s">
        <v>548</v>
      </c>
      <c r="B80" s="45" t="s">
        <v>57</v>
      </c>
    </row>
    <row r="81" spans="1:2" x14ac:dyDescent="0.2">
      <c r="A81" s="58" t="s">
        <v>525</v>
      </c>
      <c r="B81" s="45" t="s">
        <v>470</v>
      </c>
    </row>
    <row r="82" spans="1:2" x14ac:dyDescent="0.2">
      <c r="A82" s="58" t="s">
        <v>549</v>
      </c>
      <c r="B82" s="45" t="s">
        <v>470</v>
      </c>
    </row>
    <row r="83" spans="1:2" x14ac:dyDescent="0.2">
      <c r="A83" s="58" t="s">
        <v>550</v>
      </c>
      <c r="B83" s="45" t="s">
        <v>60</v>
      </c>
    </row>
    <row r="84" spans="1:2" x14ac:dyDescent="0.2">
      <c r="A84" s="58" t="s">
        <v>131</v>
      </c>
      <c r="B84" s="45" t="s">
        <v>45</v>
      </c>
    </row>
    <row r="85" spans="1:2" x14ac:dyDescent="0.2">
      <c r="A85" s="58" t="s">
        <v>526</v>
      </c>
      <c r="B85" s="45" t="s">
        <v>412</v>
      </c>
    </row>
    <row r="86" spans="1:2" x14ac:dyDescent="0.2">
      <c r="A86" s="58" t="s">
        <v>527</v>
      </c>
      <c r="B86" s="45" t="s">
        <v>447</v>
      </c>
    </row>
    <row r="87" spans="1:2" x14ac:dyDescent="0.2">
      <c r="A87" s="58" t="s">
        <v>528</v>
      </c>
      <c r="B87" s="45" t="s">
        <v>239</v>
      </c>
    </row>
    <row r="88" spans="1:2" x14ac:dyDescent="0.2">
      <c r="A88" s="58" t="s">
        <v>529</v>
      </c>
      <c r="B88" s="45" t="s">
        <v>51</v>
      </c>
    </row>
    <row r="89" spans="1:2" x14ac:dyDescent="0.2">
      <c r="A89" s="58" t="s">
        <v>551</v>
      </c>
      <c r="B89" s="45" t="s">
        <v>414</v>
      </c>
    </row>
    <row r="90" spans="1:2" x14ac:dyDescent="0.2">
      <c r="A90" s="58" t="s">
        <v>530</v>
      </c>
      <c r="B90" s="45" t="s">
        <v>265</v>
      </c>
    </row>
    <row r="91" spans="1:2" x14ac:dyDescent="0.2">
      <c r="A91" s="58" t="s">
        <v>552</v>
      </c>
      <c r="B91" s="45" t="s">
        <v>266</v>
      </c>
    </row>
    <row r="92" spans="1:2" x14ac:dyDescent="0.2">
      <c r="A92" s="58" t="s">
        <v>553</v>
      </c>
      <c r="B92" s="45" t="s">
        <v>438</v>
      </c>
    </row>
    <row r="93" spans="1:2" x14ac:dyDescent="0.2">
      <c r="A93" s="58" t="s">
        <v>132</v>
      </c>
      <c r="B93" s="45" t="s">
        <v>443</v>
      </c>
    </row>
    <row r="94" spans="1:2" x14ac:dyDescent="0.2">
      <c r="A94" s="58" t="s">
        <v>586</v>
      </c>
      <c r="B94" s="45" t="s">
        <v>426</v>
      </c>
    </row>
    <row r="95" spans="1:2" x14ac:dyDescent="0.2">
      <c r="A95" s="58" t="s">
        <v>587</v>
      </c>
      <c r="B95" s="45" t="s">
        <v>427</v>
      </c>
    </row>
    <row r="96" spans="1:2" x14ac:dyDescent="0.2">
      <c r="A96" s="58" t="s">
        <v>588</v>
      </c>
      <c r="B96" s="45" t="s">
        <v>428</v>
      </c>
    </row>
    <row r="97" spans="1:2" x14ac:dyDescent="0.2">
      <c r="A97" s="58" t="s">
        <v>589</v>
      </c>
      <c r="B97" s="45" t="s">
        <v>59</v>
      </c>
    </row>
    <row r="98" spans="1:2" x14ac:dyDescent="0.2">
      <c r="A98" s="58" t="s">
        <v>463</v>
      </c>
      <c r="B98" s="45" t="s">
        <v>429</v>
      </c>
    </row>
    <row r="99" spans="1:2" x14ac:dyDescent="0.2">
      <c r="A99" s="58" t="s">
        <v>471</v>
      </c>
      <c r="B99" s="45" t="s">
        <v>430</v>
      </c>
    </row>
    <row r="100" spans="1:2" x14ac:dyDescent="0.2">
      <c r="A100" s="58" t="s">
        <v>464</v>
      </c>
      <c r="B100" s="45" t="s">
        <v>444</v>
      </c>
    </row>
    <row r="101" spans="1:2" x14ac:dyDescent="0.2">
      <c r="A101" s="58" t="s">
        <v>465</v>
      </c>
      <c r="B101" s="45" t="s">
        <v>431</v>
      </c>
    </row>
    <row r="102" spans="1:2" x14ac:dyDescent="0.2">
      <c r="A102" s="58" t="s">
        <v>531</v>
      </c>
      <c r="B102" s="45" t="s">
        <v>432</v>
      </c>
    </row>
    <row r="103" spans="1:2" x14ac:dyDescent="0.2">
      <c r="A103" s="58" t="s">
        <v>466</v>
      </c>
      <c r="B103" s="45" t="s">
        <v>416</v>
      </c>
    </row>
    <row r="104" spans="1:2" x14ac:dyDescent="0.2">
      <c r="A104" s="58" t="s">
        <v>532</v>
      </c>
      <c r="B104" s="45" t="s">
        <v>417</v>
      </c>
    </row>
    <row r="105" spans="1:2" x14ac:dyDescent="0.2">
      <c r="A105" s="58" t="s">
        <v>516</v>
      </c>
      <c r="B105" s="45" t="s">
        <v>418</v>
      </c>
    </row>
    <row r="106" spans="1:2" x14ac:dyDescent="0.2">
      <c r="A106" s="58" t="s">
        <v>590</v>
      </c>
      <c r="B106" s="45" t="s">
        <v>419</v>
      </c>
    </row>
    <row r="107" spans="1:2" x14ac:dyDescent="0.2">
      <c r="A107" s="58" t="s">
        <v>591</v>
      </c>
      <c r="B107" s="45" t="s">
        <v>60</v>
      </c>
    </row>
    <row r="108" spans="1:2" x14ac:dyDescent="0.2">
      <c r="A108" s="58" t="s">
        <v>592</v>
      </c>
      <c r="B108" s="45" t="s">
        <v>33</v>
      </c>
    </row>
    <row r="109" spans="1:2" x14ac:dyDescent="0.2">
      <c r="A109" s="58" t="s">
        <v>593</v>
      </c>
      <c r="B109" s="45" t="s">
        <v>420</v>
      </c>
    </row>
    <row r="110" spans="1:2" x14ac:dyDescent="0.2">
      <c r="A110" s="58" t="s">
        <v>594</v>
      </c>
      <c r="B110" s="45" t="s">
        <v>413</v>
      </c>
    </row>
    <row r="111" spans="1:2" x14ac:dyDescent="0.2">
      <c r="A111" s="58" t="s">
        <v>467</v>
      </c>
      <c r="B111" s="45" t="s">
        <v>240</v>
      </c>
    </row>
    <row r="112" spans="1:2" x14ac:dyDescent="0.2">
      <c r="A112" s="58" t="s">
        <v>468</v>
      </c>
      <c r="B112" s="45" t="s">
        <v>51</v>
      </c>
    </row>
    <row r="113" spans="1:2" x14ac:dyDescent="0.2">
      <c r="A113" s="58" t="s">
        <v>514</v>
      </c>
      <c r="B113" s="45" t="s">
        <v>414</v>
      </c>
    </row>
    <row r="114" spans="1:2" x14ac:dyDescent="0.2">
      <c r="A114" s="58" t="s">
        <v>506</v>
      </c>
      <c r="B114" s="45" t="s">
        <v>268</v>
      </c>
    </row>
    <row r="115" spans="1:2" x14ac:dyDescent="0.2">
      <c r="A115" s="58" t="s">
        <v>533</v>
      </c>
      <c r="B115" s="45" t="s">
        <v>266</v>
      </c>
    </row>
    <row r="116" spans="1:2" x14ac:dyDescent="0.2">
      <c r="A116" s="58" t="s">
        <v>554</v>
      </c>
      <c r="B116" s="45" t="s">
        <v>439</v>
      </c>
    </row>
    <row r="117" spans="1:2" x14ac:dyDescent="0.2">
      <c r="A117" s="58" t="s">
        <v>555</v>
      </c>
      <c r="B117" s="45" t="s">
        <v>445</v>
      </c>
    </row>
    <row r="118" spans="1:2" x14ac:dyDescent="0.2">
      <c r="A118" s="58" t="s">
        <v>556</v>
      </c>
      <c r="B118" s="45" t="s">
        <v>421</v>
      </c>
    </row>
    <row r="119" spans="1:2" x14ac:dyDescent="0.2">
      <c r="A119" s="58" t="s">
        <v>557</v>
      </c>
      <c r="B119" s="45" t="s">
        <v>422</v>
      </c>
    </row>
    <row r="120" spans="1:2" x14ac:dyDescent="0.2">
      <c r="A120" s="58" t="s">
        <v>520</v>
      </c>
      <c r="B120" s="45" t="s">
        <v>58</v>
      </c>
    </row>
    <row r="121" spans="1:2" x14ac:dyDescent="0.2">
      <c r="A121" s="58" t="s">
        <v>400</v>
      </c>
      <c r="B121" s="45" t="s">
        <v>59</v>
      </c>
    </row>
    <row r="122" spans="1:2" x14ac:dyDescent="0.2">
      <c r="A122" s="58" t="s">
        <v>493</v>
      </c>
      <c r="B122" s="45" t="s">
        <v>433</v>
      </c>
    </row>
    <row r="123" spans="1:2" x14ac:dyDescent="0.2">
      <c r="A123" s="58" t="s">
        <v>558</v>
      </c>
      <c r="B123" s="45" t="s">
        <v>434</v>
      </c>
    </row>
    <row r="124" spans="1:2" x14ac:dyDescent="0.2">
      <c r="A124" s="58" t="s">
        <v>559</v>
      </c>
      <c r="B124" s="45" t="s">
        <v>446</v>
      </c>
    </row>
    <row r="125" spans="1:2" x14ac:dyDescent="0.2">
      <c r="A125" s="58" t="s">
        <v>534</v>
      </c>
      <c r="B125" s="45" t="s">
        <v>431</v>
      </c>
    </row>
    <row r="126" spans="1:2" x14ac:dyDescent="0.2">
      <c r="A126" s="58" t="s">
        <v>560</v>
      </c>
      <c r="B126" s="45" t="s">
        <v>423</v>
      </c>
    </row>
    <row r="127" spans="1:2" x14ac:dyDescent="0.2">
      <c r="A127" s="58" t="s">
        <v>561</v>
      </c>
      <c r="B127" s="45" t="s">
        <v>424</v>
      </c>
    </row>
    <row r="128" spans="1:2" x14ac:dyDescent="0.2">
      <c r="A128" s="58" t="s">
        <v>535</v>
      </c>
      <c r="B128" s="45" t="s">
        <v>425</v>
      </c>
    </row>
    <row r="129" spans="1:2" x14ac:dyDescent="0.2">
      <c r="A129" s="58" t="s">
        <v>562</v>
      </c>
      <c r="B129" s="45" t="s">
        <v>267</v>
      </c>
    </row>
    <row r="130" spans="1:2" x14ac:dyDescent="0.2">
      <c r="A130" s="58" t="s">
        <v>401</v>
      </c>
      <c r="B130" s="45" t="s">
        <v>94</v>
      </c>
    </row>
    <row r="131" spans="1:2" x14ac:dyDescent="0.2">
      <c r="A131" s="58" t="s">
        <v>517</v>
      </c>
      <c r="B131" s="45" t="s">
        <v>37</v>
      </c>
    </row>
    <row r="132" spans="1:2" x14ac:dyDescent="0.2">
      <c r="A132" s="58" t="s">
        <v>518</v>
      </c>
      <c r="B132" s="45" t="s">
        <v>33</v>
      </c>
    </row>
    <row r="133" spans="1:2" x14ac:dyDescent="0.2">
      <c r="A133" s="58" t="s">
        <v>563</v>
      </c>
      <c r="B133" s="45" t="s">
        <v>90</v>
      </c>
    </row>
    <row r="134" spans="1:2" x14ac:dyDescent="0.2">
      <c r="A134" s="58" t="s">
        <v>536</v>
      </c>
      <c r="B134" s="45" t="s">
        <v>34</v>
      </c>
    </row>
    <row r="135" spans="1:2" x14ac:dyDescent="0.2">
      <c r="A135" s="58" t="s">
        <v>519</v>
      </c>
      <c r="B135" s="45" t="s">
        <v>241</v>
      </c>
    </row>
    <row r="136" spans="1:2" x14ac:dyDescent="0.2">
      <c r="A136" s="58" t="s">
        <v>595</v>
      </c>
      <c r="B136" s="45" t="s">
        <v>91</v>
      </c>
    </row>
    <row r="137" spans="1:2" x14ac:dyDescent="0.2">
      <c r="A137" s="58" t="s">
        <v>596</v>
      </c>
      <c r="B137" s="45" t="s">
        <v>242</v>
      </c>
    </row>
    <row r="138" spans="1:2" x14ac:dyDescent="0.2">
      <c r="A138" s="58" t="s">
        <v>597</v>
      </c>
      <c r="B138" s="45" t="s">
        <v>34</v>
      </c>
    </row>
    <row r="139" spans="1:2" x14ac:dyDescent="0.2">
      <c r="A139" s="58" t="s">
        <v>598</v>
      </c>
      <c r="B139" s="45" t="s">
        <v>92</v>
      </c>
    </row>
    <row r="140" spans="1:2" x14ac:dyDescent="0.2">
      <c r="A140" s="58" t="s">
        <v>599</v>
      </c>
      <c r="B140" s="45" t="s">
        <v>243</v>
      </c>
    </row>
    <row r="141" spans="1:2" x14ac:dyDescent="0.2">
      <c r="A141" s="58" t="s">
        <v>133</v>
      </c>
      <c r="B141" s="45" t="s">
        <v>244</v>
      </c>
    </row>
    <row r="142" spans="1:2" x14ac:dyDescent="0.2">
      <c r="A142" s="58" t="s">
        <v>537</v>
      </c>
      <c r="B142" s="45" t="s">
        <v>36</v>
      </c>
    </row>
    <row r="143" spans="1:2" x14ac:dyDescent="0.2">
      <c r="A143" s="58" t="s">
        <v>538</v>
      </c>
      <c r="B143" s="45" t="s">
        <v>460</v>
      </c>
    </row>
    <row r="144" spans="1:2" x14ac:dyDescent="0.2">
      <c r="A144" s="58" t="s">
        <v>539</v>
      </c>
      <c r="B144" s="45" t="s">
        <v>469</v>
      </c>
    </row>
    <row r="145" spans="1:2" x14ac:dyDescent="0.2">
      <c r="A145" s="58" t="s">
        <v>402</v>
      </c>
      <c r="B145" s="45" t="s">
        <v>492</v>
      </c>
    </row>
    <row r="146" spans="1:2" x14ac:dyDescent="0.2">
      <c r="A146" s="58" t="s">
        <v>600</v>
      </c>
      <c r="B146" s="45" t="s">
        <v>491</v>
      </c>
    </row>
    <row r="147" spans="1:2" x14ac:dyDescent="0.2">
      <c r="A147" s="58" t="s">
        <v>601</v>
      </c>
      <c r="B147" s="45" t="s">
        <v>440</v>
      </c>
    </row>
    <row r="148" spans="1:2" x14ac:dyDescent="0.2">
      <c r="A148" s="58" t="s">
        <v>602</v>
      </c>
      <c r="B148" s="45" t="s">
        <v>477</v>
      </c>
    </row>
    <row r="149" spans="1:2" x14ac:dyDescent="0.2">
      <c r="A149" s="58" t="s">
        <v>603</v>
      </c>
      <c r="B149" s="45" t="s">
        <v>478</v>
      </c>
    </row>
    <row r="150" spans="1:2" x14ac:dyDescent="0.2">
      <c r="A150" s="58" t="s">
        <v>604</v>
      </c>
      <c r="B150" s="45" t="s">
        <v>479</v>
      </c>
    </row>
    <row r="151" spans="1:2" x14ac:dyDescent="0.2">
      <c r="A151" s="58" t="s">
        <v>134</v>
      </c>
      <c r="B151" s="45" t="s">
        <v>480</v>
      </c>
    </row>
    <row r="152" spans="1:2" x14ac:dyDescent="0.2">
      <c r="A152" s="58" t="s">
        <v>403</v>
      </c>
      <c r="B152" s="45" t="s">
        <v>481</v>
      </c>
    </row>
    <row r="153" spans="1:2" x14ac:dyDescent="0.2">
      <c r="A153" s="58" t="s">
        <v>564</v>
      </c>
      <c r="B153" s="45" t="s">
        <v>482</v>
      </c>
    </row>
    <row r="154" spans="1:2" x14ac:dyDescent="0.2">
      <c r="A154" s="58" t="s">
        <v>540</v>
      </c>
      <c r="B154" s="45" t="s">
        <v>483</v>
      </c>
    </row>
    <row r="155" spans="1:2" x14ac:dyDescent="0.2">
      <c r="A155" s="58" t="s">
        <v>476</v>
      </c>
      <c r="B155" s="45" t="s">
        <v>484</v>
      </c>
    </row>
    <row r="156" spans="1:2" x14ac:dyDescent="0.2">
      <c r="A156" s="58" t="s">
        <v>404</v>
      </c>
      <c r="B156" s="45" t="s">
        <v>485</v>
      </c>
    </row>
    <row r="157" spans="1:2" x14ac:dyDescent="0.2">
      <c r="A157" s="58" t="s">
        <v>565</v>
      </c>
      <c r="B157" s="45" t="s">
        <v>486</v>
      </c>
    </row>
    <row r="158" spans="1:2" x14ac:dyDescent="0.2">
      <c r="A158" s="58" t="s">
        <v>541</v>
      </c>
      <c r="B158" s="45" t="s">
        <v>487</v>
      </c>
    </row>
    <row r="159" spans="1:2" x14ac:dyDescent="0.2">
      <c r="A159" s="58" t="s">
        <v>212</v>
      </c>
      <c r="B159" s="45" t="s">
        <v>452</v>
      </c>
    </row>
    <row r="160" spans="1:2" x14ac:dyDescent="0.2">
      <c r="A160" s="58" t="s">
        <v>341</v>
      </c>
      <c r="B160" s="45" t="s">
        <v>44</v>
      </c>
    </row>
    <row r="161" spans="1:2" x14ac:dyDescent="0.2">
      <c r="A161" s="58" t="s">
        <v>507</v>
      </c>
      <c r="B161" s="45" t="s">
        <v>37</v>
      </c>
    </row>
    <row r="162" spans="1:2" x14ac:dyDescent="0.2">
      <c r="A162" s="58" t="s">
        <v>576</v>
      </c>
      <c r="B162" s="45" t="s">
        <v>95</v>
      </c>
    </row>
    <row r="163" spans="1:2" x14ac:dyDescent="0.2">
      <c r="A163" s="58" t="s">
        <v>577</v>
      </c>
      <c r="B163" s="45" t="s">
        <v>34</v>
      </c>
    </row>
    <row r="164" spans="1:2" x14ac:dyDescent="0.2">
      <c r="A164" s="58" t="s">
        <v>316</v>
      </c>
      <c r="B164" s="45" t="s">
        <v>245</v>
      </c>
    </row>
    <row r="165" spans="1:2" x14ac:dyDescent="0.2">
      <c r="A165" s="58" t="s">
        <v>317</v>
      </c>
      <c r="B165" s="45" t="s">
        <v>91</v>
      </c>
    </row>
    <row r="166" spans="1:2" x14ac:dyDescent="0.2">
      <c r="A166" s="58" t="s">
        <v>318</v>
      </c>
      <c r="B166" s="45" t="s">
        <v>246</v>
      </c>
    </row>
    <row r="167" spans="1:2" x14ac:dyDescent="0.2">
      <c r="A167" s="58" t="s">
        <v>319</v>
      </c>
      <c r="B167" s="45" t="s">
        <v>34</v>
      </c>
    </row>
    <row r="168" spans="1:2" x14ac:dyDescent="0.2">
      <c r="A168" s="58" t="s">
        <v>213</v>
      </c>
      <c r="B168" s="45" t="s">
        <v>92</v>
      </c>
    </row>
    <row r="169" spans="1:2" x14ac:dyDescent="0.2">
      <c r="A169" s="58" t="s">
        <v>320</v>
      </c>
      <c r="B169" s="45" t="s">
        <v>243</v>
      </c>
    </row>
    <row r="170" spans="1:2" x14ac:dyDescent="0.2">
      <c r="A170" s="58" t="s">
        <v>321</v>
      </c>
      <c r="B170" s="45" t="s">
        <v>244</v>
      </c>
    </row>
    <row r="171" spans="1:2" x14ac:dyDescent="0.2">
      <c r="A171" s="58" t="s">
        <v>322</v>
      </c>
      <c r="B171" s="45" t="s">
        <v>36</v>
      </c>
    </row>
    <row r="172" spans="1:2" x14ac:dyDescent="0.2">
      <c r="A172" s="58" t="s">
        <v>323</v>
      </c>
      <c r="B172" s="45" t="s">
        <v>460</v>
      </c>
    </row>
    <row r="173" spans="1:2" x14ac:dyDescent="0.2">
      <c r="A173" s="58" t="s">
        <v>324</v>
      </c>
      <c r="B173" s="45" t="s">
        <v>469</v>
      </c>
    </row>
    <row r="174" spans="1:2" x14ac:dyDescent="0.2">
      <c r="A174" s="58" t="s">
        <v>343</v>
      </c>
      <c r="B174" s="45" t="s">
        <v>490</v>
      </c>
    </row>
    <row r="175" spans="1:2" x14ac:dyDescent="0.2">
      <c r="A175" s="58" t="s">
        <v>405</v>
      </c>
      <c r="B175" s="45" t="s">
        <v>491</v>
      </c>
    </row>
    <row r="176" spans="1:2" x14ac:dyDescent="0.2">
      <c r="A176" s="58" t="s">
        <v>605</v>
      </c>
      <c r="B176" s="45" t="s">
        <v>440</v>
      </c>
    </row>
    <row r="177" spans="1:2" x14ac:dyDescent="0.2">
      <c r="A177" s="58" t="s">
        <v>606</v>
      </c>
      <c r="B177" s="45" t="s">
        <v>448</v>
      </c>
    </row>
    <row r="178" spans="1:2" x14ac:dyDescent="0.2">
      <c r="A178" s="58" t="s">
        <v>607</v>
      </c>
      <c r="B178" s="45" t="s">
        <v>449</v>
      </c>
    </row>
    <row r="179" spans="1:2" x14ac:dyDescent="0.2">
      <c r="A179" s="58" t="s">
        <v>608</v>
      </c>
      <c r="B179" s="45" t="s">
        <v>450</v>
      </c>
    </row>
    <row r="180" spans="1:2" x14ac:dyDescent="0.2">
      <c r="A180" s="58" t="s">
        <v>609</v>
      </c>
      <c r="B180" s="45" t="s">
        <v>451</v>
      </c>
    </row>
    <row r="181" spans="1:2" x14ac:dyDescent="0.2">
      <c r="A181" s="58" t="s">
        <v>273</v>
      </c>
      <c r="B181" s="45" t="s">
        <v>61</v>
      </c>
    </row>
    <row r="182" spans="1:2" x14ac:dyDescent="0.2">
      <c r="A182" s="58" t="s">
        <v>325</v>
      </c>
      <c r="B182" s="45" t="s">
        <v>247</v>
      </c>
    </row>
    <row r="183" spans="1:2" x14ac:dyDescent="0.2">
      <c r="A183" s="58" t="s">
        <v>326</v>
      </c>
      <c r="B183" s="45" t="s">
        <v>248</v>
      </c>
    </row>
    <row r="184" spans="1:2" x14ac:dyDescent="0.2">
      <c r="A184" s="58" t="s">
        <v>327</v>
      </c>
      <c r="B184" s="45" t="s">
        <v>93</v>
      </c>
    </row>
    <row r="185" spans="1:2" x14ac:dyDescent="0.2">
      <c r="A185" s="58" t="s">
        <v>328</v>
      </c>
      <c r="B185" s="45" t="s">
        <v>89</v>
      </c>
    </row>
    <row r="186" spans="1:2" x14ac:dyDescent="0.2">
      <c r="A186" s="58" t="s">
        <v>344</v>
      </c>
      <c r="B186" s="45" t="s">
        <v>452</v>
      </c>
    </row>
    <row r="187" spans="1:2" x14ac:dyDescent="0.2">
      <c r="A187" s="58" t="s">
        <v>406</v>
      </c>
      <c r="B187" s="45" t="s">
        <v>94</v>
      </c>
    </row>
    <row r="188" spans="1:2" x14ac:dyDescent="0.2">
      <c r="A188" s="58" t="s">
        <v>407</v>
      </c>
      <c r="B188" s="45" t="s">
        <v>94</v>
      </c>
    </row>
    <row r="189" spans="1:2" x14ac:dyDescent="0.2">
      <c r="A189" s="58" t="s">
        <v>408</v>
      </c>
      <c r="B189" s="45" t="s">
        <v>44</v>
      </c>
    </row>
    <row r="190" spans="1:2" x14ac:dyDescent="0.2">
      <c r="A190" s="58" t="s">
        <v>409</v>
      </c>
      <c r="B190" s="45" t="s">
        <v>37</v>
      </c>
    </row>
    <row r="191" spans="1:2" x14ac:dyDescent="0.2">
      <c r="A191" s="58" t="s">
        <v>499</v>
      </c>
      <c r="B191" s="45" t="s">
        <v>33</v>
      </c>
    </row>
    <row r="192" spans="1:2" x14ac:dyDescent="0.2">
      <c r="A192" s="58" t="s">
        <v>274</v>
      </c>
      <c r="B192" s="45" t="s">
        <v>249</v>
      </c>
    </row>
    <row r="193" spans="1:2" x14ac:dyDescent="0.2">
      <c r="A193" s="58" t="s">
        <v>508</v>
      </c>
      <c r="B193" s="45" t="s">
        <v>91</v>
      </c>
    </row>
    <row r="194" spans="1:2" x14ac:dyDescent="0.2">
      <c r="A194" s="58" t="s">
        <v>509</v>
      </c>
      <c r="B194" s="45" t="s">
        <v>250</v>
      </c>
    </row>
    <row r="195" spans="1:2" x14ac:dyDescent="0.2">
      <c r="A195" s="58" t="s">
        <v>510</v>
      </c>
      <c r="B195" s="45" t="s">
        <v>34</v>
      </c>
    </row>
    <row r="196" spans="1:2" x14ac:dyDescent="0.2">
      <c r="A196" s="58" t="s">
        <v>511</v>
      </c>
      <c r="B196" s="45" t="s">
        <v>92</v>
      </c>
    </row>
    <row r="197" spans="1:2" x14ac:dyDescent="0.2">
      <c r="A197" s="58" t="s">
        <v>512</v>
      </c>
      <c r="B197" s="45" t="s">
        <v>251</v>
      </c>
    </row>
    <row r="198" spans="1:2" x14ac:dyDescent="0.2">
      <c r="A198" s="58" t="s">
        <v>513</v>
      </c>
      <c r="B198" s="45" t="s">
        <v>36</v>
      </c>
    </row>
    <row r="199" spans="1:2" x14ac:dyDescent="0.2">
      <c r="A199" s="58" t="s">
        <v>34</v>
      </c>
      <c r="B199" s="45" t="s">
        <v>252</v>
      </c>
    </row>
    <row r="200" spans="1:2" x14ac:dyDescent="0.2">
      <c r="A200" s="58" t="s">
        <v>435</v>
      </c>
      <c r="B200" s="45" t="s">
        <v>460</v>
      </c>
    </row>
    <row r="201" spans="1:2" x14ac:dyDescent="0.2">
      <c r="A201" s="58" t="s">
        <v>437</v>
      </c>
      <c r="B201" s="45" t="s">
        <v>469</v>
      </c>
    </row>
    <row r="202" spans="1:2" x14ac:dyDescent="0.2">
      <c r="A202" s="58" t="s">
        <v>67</v>
      </c>
      <c r="B202" s="45" t="s">
        <v>488</v>
      </c>
    </row>
    <row r="203" spans="1:2" x14ac:dyDescent="0.2">
      <c r="A203" s="58" t="s">
        <v>63</v>
      </c>
      <c r="B203" s="45" t="s">
        <v>489</v>
      </c>
    </row>
    <row r="204" spans="1:2" x14ac:dyDescent="0.2">
      <c r="A204" s="58" t="s">
        <v>63</v>
      </c>
      <c r="B204" s="45" t="s">
        <v>440</v>
      </c>
    </row>
    <row r="205" spans="1:2" x14ac:dyDescent="0.2">
      <c r="A205" s="58" t="s">
        <v>65</v>
      </c>
      <c r="B205" s="45" t="s">
        <v>453</v>
      </c>
    </row>
    <row r="206" spans="1:2" x14ac:dyDescent="0.2">
      <c r="A206" s="58" t="s">
        <v>64</v>
      </c>
      <c r="B206" s="45" t="s">
        <v>454</v>
      </c>
    </row>
    <row r="207" spans="1:2" x14ac:dyDescent="0.2">
      <c r="A207" s="58" t="s">
        <v>66</v>
      </c>
      <c r="B207" s="45" t="s">
        <v>455</v>
      </c>
    </row>
    <row r="208" spans="1:2" x14ac:dyDescent="0.2">
      <c r="A208" s="58" t="s">
        <v>218</v>
      </c>
      <c r="B208" s="45" t="s">
        <v>451</v>
      </c>
    </row>
    <row r="209" spans="1:2" x14ac:dyDescent="0.2">
      <c r="A209" s="58" t="s">
        <v>34</v>
      </c>
      <c r="B209" s="45" t="s">
        <v>61</v>
      </c>
    </row>
    <row r="210" spans="1:2" x14ac:dyDescent="0.2">
      <c r="A210" s="58" t="s">
        <v>34</v>
      </c>
      <c r="B210" s="45" t="s">
        <v>253</v>
      </c>
    </row>
    <row r="211" spans="1:2" x14ac:dyDescent="0.2">
      <c r="A211" s="58" t="s">
        <v>83</v>
      </c>
      <c r="B211" s="45" t="s">
        <v>254</v>
      </c>
    </row>
    <row r="212" spans="1:2" x14ac:dyDescent="0.2">
      <c r="A212" s="58" t="s">
        <v>84</v>
      </c>
      <c r="B212" s="45" t="s">
        <v>93</v>
      </c>
    </row>
    <row r="213" spans="1:2" x14ac:dyDescent="0.2">
      <c r="A213" s="58" t="s">
        <v>85</v>
      </c>
      <c r="B213" s="45" t="s">
        <v>89</v>
      </c>
    </row>
    <row r="214" spans="1:2" x14ac:dyDescent="0.2">
      <c r="A214" s="58" t="s">
        <v>86</v>
      </c>
      <c r="B214" s="45" t="s">
        <v>267</v>
      </c>
    </row>
    <row r="215" spans="1:2" x14ac:dyDescent="0.2">
      <c r="A215" s="58" t="s">
        <v>80</v>
      </c>
      <c r="B215" s="45" t="s">
        <v>94</v>
      </c>
    </row>
    <row r="216" spans="1:2" x14ac:dyDescent="0.2">
      <c r="A216" s="58" t="s">
        <v>34</v>
      </c>
      <c r="B216" s="45" t="s">
        <v>94</v>
      </c>
    </row>
    <row r="217" spans="1:2" x14ac:dyDescent="0.2">
      <c r="A217" s="58" t="s">
        <v>219</v>
      </c>
      <c r="B217" s="45" t="s">
        <v>44</v>
      </c>
    </row>
    <row r="218" spans="1:2" x14ac:dyDescent="0.2">
      <c r="A218" s="58" t="s">
        <v>47</v>
      </c>
      <c r="B218" s="45" t="s">
        <v>37</v>
      </c>
    </row>
    <row r="219" spans="1:2" x14ac:dyDescent="0.2">
      <c r="A219" s="58" t="s">
        <v>48</v>
      </c>
      <c r="B219" s="45" t="s">
        <v>255</v>
      </c>
    </row>
    <row r="220" spans="1:2" x14ac:dyDescent="0.2">
      <c r="A220" s="58" t="s">
        <v>220</v>
      </c>
      <c r="B220" s="45" t="s">
        <v>91</v>
      </c>
    </row>
    <row r="221" spans="1:2" x14ac:dyDescent="0.2">
      <c r="A221" s="58" t="s">
        <v>221</v>
      </c>
      <c r="B221" s="45" t="s">
        <v>256</v>
      </c>
    </row>
    <row r="222" spans="1:2" x14ac:dyDescent="0.2">
      <c r="A222" s="58" t="s">
        <v>222</v>
      </c>
      <c r="B222" s="45" t="s">
        <v>34</v>
      </c>
    </row>
    <row r="223" spans="1:2" x14ac:dyDescent="0.2">
      <c r="A223" s="58" t="s">
        <v>49</v>
      </c>
      <c r="B223" s="45" t="s">
        <v>92</v>
      </c>
    </row>
    <row r="224" spans="1:2" x14ac:dyDescent="0.2">
      <c r="A224" s="58" t="s">
        <v>50</v>
      </c>
      <c r="B224" s="45" t="s">
        <v>251</v>
      </c>
    </row>
    <row r="225" spans="1:2" x14ac:dyDescent="0.2">
      <c r="A225" s="58" t="s">
        <v>442</v>
      </c>
      <c r="B225" s="45" t="s">
        <v>36</v>
      </c>
    </row>
    <row r="226" spans="1:2" x14ac:dyDescent="0.2">
      <c r="A226" s="58" t="s">
        <v>87</v>
      </c>
      <c r="B226" s="45" t="s">
        <v>252</v>
      </c>
    </row>
    <row r="227" spans="1:2" x14ac:dyDescent="0.2">
      <c r="A227" s="58" t="s">
        <v>88</v>
      </c>
      <c r="B227" s="45" t="s">
        <v>460</v>
      </c>
    </row>
    <row r="228" spans="1:2" x14ac:dyDescent="0.2">
      <c r="A228" s="58" t="s">
        <v>410</v>
      </c>
      <c r="B228" s="45" t="s">
        <v>469</v>
      </c>
    </row>
    <row r="229" spans="1:2" x14ac:dyDescent="0.2">
      <c r="A229" s="58" t="s">
        <v>223</v>
      </c>
      <c r="B229" s="45" t="s">
        <v>488</v>
      </c>
    </row>
    <row r="230" spans="1:2" x14ac:dyDescent="0.2">
      <c r="A230" s="58" t="s">
        <v>51</v>
      </c>
      <c r="B230" s="45" t="s">
        <v>489</v>
      </c>
    </row>
    <row r="231" spans="1:2" x14ac:dyDescent="0.2">
      <c r="A231" s="58" t="s">
        <v>411</v>
      </c>
      <c r="B231" s="45" t="s">
        <v>440</v>
      </c>
    </row>
    <row r="232" spans="1:2" x14ac:dyDescent="0.2">
      <c r="A232" s="58" t="s">
        <v>265</v>
      </c>
      <c r="B232" s="45" t="s">
        <v>453</v>
      </c>
    </row>
    <row r="233" spans="1:2" x14ac:dyDescent="0.2">
      <c r="A233" s="58" t="s">
        <v>266</v>
      </c>
      <c r="B233" s="45" t="s">
        <v>454</v>
      </c>
    </row>
    <row r="234" spans="1:2" x14ac:dyDescent="0.2">
      <c r="A234" s="58" t="s">
        <v>441</v>
      </c>
      <c r="B234" s="45" t="s">
        <v>450</v>
      </c>
    </row>
    <row r="235" spans="1:2" x14ac:dyDescent="0.2">
      <c r="A235" s="58" t="s">
        <v>224</v>
      </c>
      <c r="B235" s="45" t="s">
        <v>451</v>
      </c>
    </row>
    <row r="236" spans="1:2" x14ac:dyDescent="0.2">
      <c r="A236" s="58" t="s">
        <v>52</v>
      </c>
      <c r="B236" s="45" t="s">
        <v>61</v>
      </c>
    </row>
    <row r="237" spans="1:2" x14ac:dyDescent="0.2">
      <c r="A237" s="58" t="s">
        <v>225</v>
      </c>
      <c r="B237" s="45" t="s">
        <v>257</v>
      </c>
    </row>
    <row r="238" spans="1:2" x14ac:dyDescent="0.2">
      <c r="A238" s="58" t="s">
        <v>112</v>
      </c>
      <c r="B238" s="45" t="s">
        <v>258</v>
      </c>
    </row>
    <row r="239" spans="1:2" x14ac:dyDescent="0.2">
      <c r="A239" s="58" t="s">
        <v>53</v>
      </c>
      <c r="B239" s="45" t="s">
        <v>93</v>
      </c>
    </row>
    <row r="240" spans="1:2" x14ac:dyDescent="0.2">
      <c r="A240" s="58" t="s">
        <v>54</v>
      </c>
      <c r="B240" s="45" t="s">
        <v>89</v>
      </c>
    </row>
    <row r="241" spans="1:2" x14ac:dyDescent="0.2">
      <c r="A241" s="58" t="s">
        <v>53</v>
      </c>
      <c r="B241" s="45" t="s">
        <v>419</v>
      </c>
    </row>
    <row r="242" spans="1:2" x14ac:dyDescent="0.2">
      <c r="A242" s="58" t="s">
        <v>113</v>
      </c>
      <c r="B242" s="45" t="s">
        <v>94</v>
      </c>
    </row>
    <row r="243" spans="1:2" x14ac:dyDescent="0.2">
      <c r="A243" s="58" t="s">
        <v>226</v>
      </c>
      <c r="B243" s="45" t="s">
        <v>94</v>
      </c>
    </row>
    <row r="244" spans="1:2" x14ac:dyDescent="0.2">
      <c r="A244" s="58" t="s">
        <v>227</v>
      </c>
      <c r="B244" s="45" t="s">
        <v>44</v>
      </c>
    </row>
    <row r="245" spans="1:2" x14ac:dyDescent="0.2">
      <c r="A245" s="58" t="s">
        <v>228</v>
      </c>
      <c r="B245" s="45" t="s">
        <v>37</v>
      </c>
    </row>
    <row r="246" spans="1:2" x14ac:dyDescent="0.2">
      <c r="A246" s="58" t="s">
        <v>55</v>
      </c>
      <c r="B246" s="45" t="s">
        <v>33</v>
      </c>
    </row>
    <row r="247" spans="1:2" x14ac:dyDescent="0.2">
      <c r="A247" s="58" t="s">
        <v>56</v>
      </c>
      <c r="B247" s="45" t="s">
        <v>96</v>
      </c>
    </row>
    <row r="248" spans="1:2" x14ac:dyDescent="0.2">
      <c r="A248" s="58" t="s">
        <v>53</v>
      </c>
      <c r="B248" s="45" t="s">
        <v>34</v>
      </c>
    </row>
    <row r="249" spans="1:2" x14ac:dyDescent="0.2">
      <c r="A249" s="58" t="s">
        <v>113</v>
      </c>
      <c r="B249" s="45" t="s">
        <v>46</v>
      </c>
    </row>
    <row r="250" spans="1:2" x14ac:dyDescent="0.2">
      <c r="A250" s="58" t="s">
        <v>229</v>
      </c>
      <c r="B250" s="45" t="s">
        <v>34</v>
      </c>
    </row>
    <row r="251" spans="1:2" x14ac:dyDescent="0.2">
      <c r="A251" s="58" t="s">
        <v>227</v>
      </c>
      <c r="B251" s="45" t="s">
        <v>97</v>
      </c>
    </row>
    <row r="252" spans="1:2" x14ac:dyDescent="0.2">
      <c r="A252" s="58" t="s">
        <v>230</v>
      </c>
      <c r="B252" s="45" t="s">
        <v>34</v>
      </c>
    </row>
    <row r="253" spans="1:2" x14ac:dyDescent="0.2">
      <c r="A253" s="58" t="s">
        <v>53</v>
      </c>
      <c r="B253" s="45" t="s">
        <v>98</v>
      </c>
    </row>
    <row r="254" spans="1:2" x14ac:dyDescent="0.2">
      <c r="A254" s="58" t="s">
        <v>114</v>
      </c>
      <c r="B254" s="45" t="s">
        <v>116</v>
      </c>
    </row>
    <row r="255" spans="1:2" x14ac:dyDescent="0.2">
      <c r="A255" s="58" t="s">
        <v>231</v>
      </c>
      <c r="B255" s="45" t="s">
        <v>99</v>
      </c>
    </row>
    <row r="256" spans="1:2" x14ac:dyDescent="0.2">
      <c r="A256" s="58" t="s">
        <v>232</v>
      </c>
      <c r="B256" s="45" t="s">
        <v>100</v>
      </c>
    </row>
    <row r="257" spans="1:2" x14ac:dyDescent="0.2">
      <c r="A257" s="58" t="s">
        <v>233</v>
      </c>
      <c r="B257" s="45" t="s">
        <v>36</v>
      </c>
    </row>
    <row r="258" spans="1:2" x14ac:dyDescent="0.2">
      <c r="A258" s="58" t="s">
        <v>57</v>
      </c>
      <c r="B258" s="45" t="s">
        <v>101</v>
      </c>
    </row>
    <row r="259" spans="1:2" x14ac:dyDescent="0.2">
      <c r="A259" s="58" t="s">
        <v>115</v>
      </c>
      <c r="B259" s="45" t="s">
        <v>102</v>
      </c>
    </row>
    <row r="260" spans="1:2" x14ac:dyDescent="0.2">
      <c r="A260" s="58" t="s">
        <v>438</v>
      </c>
      <c r="B260" s="45" t="s">
        <v>259</v>
      </c>
    </row>
    <row r="261" spans="1:2" x14ac:dyDescent="0.2">
      <c r="A261" s="58" t="s">
        <v>439</v>
      </c>
      <c r="B261" s="45" t="s">
        <v>260</v>
      </c>
    </row>
    <row r="262" spans="1:2" x14ac:dyDescent="0.2">
      <c r="A262" s="58" t="s">
        <v>460</v>
      </c>
      <c r="B262" s="45" t="s">
        <v>261</v>
      </c>
    </row>
    <row r="263" spans="1:2" x14ac:dyDescent="0.2">
      <c r="A263" s="58" t="s">
        <v>469</v>
      </c>
      <c r="B263" s="45" t="s">
        <v>103</v>
      </c>
    </row>
    <row r="264" spans="1:2" x14ac:dyDescent="0.2">
      <c r="A264" s="58" t="s">
        <v>475</v>
      </c>
      <c r="B264" s="45" t="s">
        <v>44</v>
      </c>
    </row>
    <row r="265" spans="1:2" x14ac:dyDescent="0.2">
      <c r="A265" s="58" t="s">
        <v>472</v>
      </c>
      <c r="B265" s="45" t="s">
        <v>104</v>
      </c>
    </row>
    <row r="266" spans="1:2" x14ac:dyDescent="0.2">
      <c r="A266" s="58" t="s">
        <v>440</v>
      </c>
      <c r="B266" s="45" t="s">
        <v>105</v>
      </c>
    </row>
    <row r="267" spans="1:2" x14ac:dyDescent="0.2">
      <c r="A267" s="58" t="s">
        <v>474</v>
      </c>
      <c r="B267" s="45" t="s">
        <v>36</v>
      </c>
    </row>
    <row r="268" spans="1:2" x14ac:dyDescent="0.2">
      <c r="A268" s="58" t="s">
        <v>473</v>
      </c>
      <c r="B268" s="45" t="s">
        <v>106</v>
      </c>
    </row>
    <row r="269" spans="1:2" x14ac:dyDescent="0.2">
      <c r="A269" s="58" t="s">
        <v>440</v>
      </c>
      <c r="B269" s="45" t="s">
        <v>107</v>
      </c>
    </row>
    <row r="270" spans="1:2" x14ac:dyDescent="0.2">
      <c r="A270" s="58" t="s">
        <v>456</v>
      </c>
      <c r="B270" s="45" t="s">
        <v>262</v>
      </c>
    </row>
    <row r="271" spans="1:2" x14ac:dyDescent="0.2">
      <c r="A271" s="58" t="s">
        <v>234</v>
      </c>
      <c r="B271" s="45" t="s">
        <v>263</v>
      </c>
    </row>
    <row r="272" spans="1:2" x14ac:dyDescent="0.2">
      <c r="A272" s="58" t="s">
        <v>58</v>
      </c>
      <c r="B272" s="45" t="s">
        <v>264</v>
      </c>
    </row>
    <row r="273" spans="1:2" x14ac:dyDescent="0.2">
      <c r="A273" s="58" t="s">
        <v>59</v>
      </c>
      <c r="B273" s="45" t="s">
        <v>103</v>
      </c>
    </row>
    <row r="274" spans="1:2" x14ac:dyDescent="0.2">
      <c r="A274" s="58" t="s">
        <v>235</v>
      </c>
      <c r="B274" s="45" t="s">
        <v>108</v>
      </c>
    </row>
    <row r="275" spans="1:2" x14ac:dyDescent="0.2">
      <c r="A275" s="58" t="s">
        <v>236</v>
      </c>
      <c r="B275" s="45" t="s">
        <v>45</v>
      </c>
    </row>
    <row r="276" spans="1:2" x14ac:dyDescent="0.2">
      <c r="A276" s="58" t="s">
        <v>237</v>
      </c>
      <c r="B276" s="45" t="s">
        <v>34</v>
      </c>
    </row>
    <row r="277" spans="1:2" x14ac:dyDescent="0.2">
      <c r="A277" s="58" t="s">
        <v>238</v>
      </c>
      <c r="B277" s="45" t="s">
        <v>436</v>
      </c>
    </row>
    <row r="278" spans="1:2" x14ac:dyDescent="0.2">
      <c r="A278" s="58" t="s">
        <v>57</v>
      </c>
      <c r="B278" s="45" t="s">
        <v>34</v>
      </c>
    </row>
    <row r="279" spans="1:2" x14ac:dyDescent="0.2">
      <c r="A279" s="58" t="s">
        <v>470</v>
      </c>
    </row>
    <row r="280" spans="1:2" x14ac:dyDescent="0.2">
      <c r="A280" s="58" t="s">
        <v>470</v>
      </c>
    </row>
    <row r="281" spans="1:2" x14ac:dyDescent="0.2">
      <c r="A281" s="58" t="s">
        <v>60</v>
      </c>
    </row>
    <row r="282" spans="1:2" x14ac:dyDescent="0.2">
      <c r="A282" s="58" t="s">
        <v>45</v>
      </c>
    </row>
    <row r="283" spans="1:2" x14ac:dyDescent="0.2">
      <c r="A283" s="58" t="s">
        <v>412</v>
      </c>
    </row>
    <row r="284" spans="1:2" x14ac:dyDescent="0.2">
      <c r="A284" s="58" t="s">
        <v>447</v>
      </c>
    </row>
    <row r="285" spans="1:2" x14ac:dyDescent="0.2">
      <c r="A285" s="58" t="s">
        <v>239</v>
      </c>
    </row>
    <row r="286" spans="1:2" x14ac:dyDescent="0.2">
      <c r="A286" s="58" t="s">
        <v>51</v>
      </c>
    </row>
    <row r="287" spans="1:2" x14ac:dyDescent="0.2">
      <c r="A287" s="58" t="s">
        <v>414</v>
      </c>
    </row>
    <row r="288" spans="1:2" x14ac:dyDescent="0.2">
      <c r="A288" s="58" t="s">
        <v>265</v>
      </c>
    </row>
    <row r="289" spans="1:1" x14ac:dyDescent="0.2">
      <c r="A289" s="58" t="s">
        <v>266</v>
      </c>
    </row>
    <row r="290" spans="1:1" x14ac:dyDescent="0.2">
      <c r="A290" s="58" t="s">
        <v>438</v>
      </c>
    </row>
    <row r="291" spans="1:1" x14ac:dyDescent="0.2">
      <c r="A291" s="58" t="s">
        <v>443</v>
      </c>
    </row>
    <row r="292" spans="1:1" x14ac:dyDescent="0.2">
      <c r="A292" s="58" t="s">
        <v>426</v>
      </c>
    </row>
    <row r="293" spans="1:1" x14ac:dyDescent="0.2">
      <c r="A293" s="58" t="s">
        <v>427</v>
      </c>
    </row>
    <row r="294" spans="1:1" x14ac:dyDescent="0.2">
      <c r="A294" s="58" t="s">
        <v>428</v>
      </c>
    </row>
    <row r="295" spans="1:1" x14ac:dyDescent="0.2">
      <c r="A295" s="58" t="s">
        <v>59</v>
      </c>
    </row>
    <row r="296" spans="1:1" x14ac:dyDescent="0.2">
      <c r="A296" s="58" t="s">
        <v>429</v>
      </c>
    </row>
    <row r="297" spans="1:1" x14ac:dyDescent="0.2">
      <c r="A297" s="58" t="s">
        <v>430</v>
      </c>
    </row>
    <row r="298" spans="1:1" x14ac:dyDescent="0.2">
      <c r="A298" s="58" t="s">
        <v>444</v>
      </c>
    </row>
    <row r="299" spans="1:1" x14ac:dyDescent="0.2">
      <c r="A299" s="58" t="s">
        <v>431</v>
      </c>
    </row>
    <row r="300" spans="1:1" x14ac:dyDescent="0.2">
      <c r="A300" s="58" t="s">
        <v>432</v>
      </c>
    </row>
    <row r="301" spans="1:1" x14ac:dyDescent="0.2">
      <c r="A301" s="58" t="s">
        <v>416</v>
      </c>
    </row>
    <row r="302" spans="1:1" x14ac:dyDescent="0.2">
      <c r="A302" s="58" t="s">
        <v>417</v>
      </c>
    </row>
    <row r="303" spans="1:1" x14ac:dyDescent="0.2">
      <c r="A303" s="58" t="s">
        <v>418</v>
      </c>
    </row>
    <row r="304" spans="1:1" x14ac:dyDescent="0.2">
      <c r="A304" s="58" t="s">
        <v>419</v>
      </c>
    </row>
    <row r="305" spans="1:1" x14ac:dyDescent="0.2">
      <c r="A305" s="58" t="s">
        <v>60</v>
      </c>
    </row>
    <row r="306" spans="1:1" x14ac:dyDescent="0.2">
      <c r="A306" s="58" t="s">
        <v>33</v>
      </c>
    </row>
    <row r="307" spans="1:1" x14ac:dyDescent="0.2">
      <c r="A307" s="58" t="s">
        <v>420</v>
      </c>
    </row>
    <row r="308" spans="1:1" x14ac:dyDescent="0.2">
      <c r="A308" s="58" t="s">
        <v>413</v>
      </c>
    </row>
    <row r="309" spans="1:1" x14ac:dyDescent="0.2">
      <c r="A309" s="58" t="s">
        <v>240</v>
      </c>
    </row>
    <row r="310" spans="1:1" x14ac:dyDescent="0.2">
      <c r="A310" s="58" t="s">
        <v>51</v>
      </c>
    </row>
    <row r="311" spans="1:1" x14ac:dyDescent="0.2">
      <c r="A311" s="58" t="s">
        <v>414</v>
      </c>
    </row>
    <row r="312" spans="1:1" x14ac:dyDescent="0.2">
      <c r="A312" s="58" t="s">
        <v>268</v>
      </c>
    </row>
    <row r="313" spans="1:1" x14ac:dyDescent="0.2">
      <c r="A313" s="58" t="s">
        <v>266</v>
      </c>
    </row>
    <row r="314" spans="1:1" x14ac:dyDescent="0.2">
      <c r="A314" s="58" t="s">
        <v>439</v>
      </c>
    </row>
    <row r="315" spans="1:1" x14ac:dyDescent="0.2">
      <c r="A315" s="58" t="s">
        <v>445</v>
      </c>
    </row>
    <row r="316" spans="1:1" x14ac:dyDescent="0.2">
      <c r="A316" s="58" t="s">
        <v>421</v>
      </c>
    </row>
    <row r="317" spans="1:1" x14ac:dyDescent="0.2">
      <c r="A317" s="58" t="s">
        <v>422</v>
      </c>
    </row>
    <row r="318" spans="1:1" x14ac:dyDescent="0.2">
      <c r="A318" s="58" t="s">
        <v>58</v>
      </c>
    </row>
    <row r="319" spans="1:1" x14ac:dyDescent="0.2">
      <c r="A319" s="58" t="s">
        <v>59</v>
      </c>
    </row>
    <row r="320" spans="1:1" x14ac:dyDescent="0.2">
      <c r="A320" s="58" t="s">
        <v>433</v>
      </c>
    </row>
    <row r="321" spans="1:1" x14ac:dyDescent="0.2">
      <c r="A321" s="58" t="s">
        <v>434</v>
      </c>
    </row>
    <row r="322" spans="1:1" x14ac:dyDescent="0.2">
      <c r="A322" s="58" t="s">
        <v>446</v>
      </c>
    </row>
    <row r="323" spans="1:1" x14ac:dyDescent="0.2">
      <c r="A323" s="58" t="s">
        <v>431</v>
      </c>
    </row>
    <row r="324" spans="1:1" x14ac:dyDescent="0.2">
      <c r="A324" s="58" t="s">
        <v>423</v>
      </c>
    </row>
    <row r="325" spans="1:1" x14ac:dyDescent="0.2">
      <c r="A325" s="58" t="s">
        <v>424</v>
      </c>
    </row>
    <row r="326" spans="1:1" x14ac:dyDescent="0.2">
      <c r="A326" s="58" t="s">
        <v>425</v>
      </c>
    </row>
    <row r="327" spans="1:1" x14ac:dyDescent="0.2">
      <c r="A327" s="58" t="s">
        <v>267</v>
      </c>
    </row>
    <row r="328" spans="1:1" x14ac:dyDescent="0.2">
      <c r="A328" s="58" t="s">
        <v>94</v>
      </c>
    </row>
    <row r="329" spans="1:1" x14ac:dyDescent="0.2">
      <c r="A329" s="58" t="s">
        <v>37</v>
      </c>
    </row>
    <row r="330" spans="1:1" x14ac:dyDescent="0.2">
      <c r="A330" s="58" t="s">
        <v>33</v>
      </c>
    </row>
    <row r="331" spans="1:1" x14ac:dyDescent="0.2">
      <c r="A331" s="58" t="s">
        <v>90</v>
      </c>
    </row>
    <row r="332" spans="1:1" x14ac:dyDescent="0.2">
      <c r="A332" s="58" t="s">
        <v>34</v>
      </c>
    </row>
    <row r="333" spans="1:1" x14ac:dyDescent="0.2">
      <c r="A333" s="58" t="s">
        <v>241</v>
      </c>
    </row>
    <row r="334" spans="1:1" x14ac:dyDescent="0.2">
      <c r="A334" s="58" t="s">
        <v>91</v>
      </c>
    </row>
    <row r="335" spans="1:1" x14ac:dyDescent="0.2">
      <c r="A335" s="58" t="s">
        <v>242</v>
      </c>
    </row>
    <row r="336" spans="1:1" x14ac:dyDescent="0.2">
      <c r="A336" s="58" t="s">
        <v>34</v>
      </c>
    </row>
    <row r="337" spans="1:1" x14ac:dyDescent="0.2">
      <c r="A337" s="58" t="s">
        <v>92</v>
      </c>
    </row>
    <row r="338" spans="1:1" x14ac:dyDescent="0.2">
      <c r="A338" s="58" t="s">
        <v>243</v>
      </c>
    </row>
    <row r="339" spans="1:1" x14ac:dyDescent="0.2">
      <c r="A339" s="58" t="s">
        <v>244</v>
      </c>
    </row>
    <row r="340" spans="1:1" x14ac:dyDescent="0.2">
      <c r="A340" s="58" t="s">
        <v>36</v>
      </c>
    </row>
    <row r="341" spans="1:1" x14ac:dyDescent="0.2">
      <c r="A341" s="58" t="s">
        <v>460</v>
      </c>
    </row>
    <row r="342" spans="1:1" x14ac:dyDescent="0.2">
      <c r="A342" s="58" t="s">
        <v>469</v>
      </c>
    </row>
    <row r="343" spans="1:1" x14ac:dyDescent="0.2">
      <c r="A343" s="58" t="s">
        <v>492</v>
      </c>
    </row>
    <row r="344" spans="1:1" x14ac:dyDescent="0.2">
      <c r="A344" s="58" t="s">
        <v>491</v>
      </c>
    </row>
    <row r="345" spans="1:1" x14ac:dyDescent="0.2">
      <c r="A345" s="58" t="s">
        <v>440</v>
      </c>
    </row>
    <row r="346" spans="1:1" x14ac:dyDescent="0.2">
      <c r="A346" s="58" t="s">
        <v>477</v>
      </c>
    </row>
    <row r="347" spans="1:1" x14ac:dyDescent="0.2">
      <c r="A347" s="58" t="s">
        <v>478</v>
      </c>
    </row>
    <row r="348" spans="1:1" x14ac:dyDescent="0.2">
      <c r="A348" s="58" t="s">
        <v>479</v>
      </c>
    </row>
    <row r="349" spans="1:1" x14ac:dyDescent="0.2">
      <c r="A349" s="58" t="s">
        <v>480</v>
      </c>
    </row>
    <row r="350" spans="1:1" x14ac:dyDescent="0.2">
      <c r="A350" s="58" t="s">
        <v>481</v>
      </c>
    </row>
    <row r="351" spans="1:1" x14ac:dyDescent="0.2">
      <c r="A351" s="58" t="s">
        <v>482</v>
      </c>
    </row>
    <row r="352" spans="1:1" x14ac:dyDescent="0.2">
      <c r="A352" s="58" t="s">
        <v>483</v>
      </c>
    </row>
    <row r="353" spans="1:1" x14ac:dyDescent="0.2">
      <c r="A353" s="58" t="s">
        <v>484</v>
      </c>
    </row>
    <row r="354" spans="1:1" x14ac:dyDescent="0.2">
      <c r="A354" s="58" t="s">
        <v>485</v>
      </c>
    </row>
    <row r="355" spans="1:1" x14ac:dyDescent="0.2">
      <c r="A355" s="58" t="s">
        <v>486</v>
      </c>
    </row>
    <row r="356" spans="1:1" x14ac:dyDescent="0.2">
      <c r="A356" s="58" t="s">
        <v>487</v>
      </c>
    </row>
    <row r="357" spans="1:1" x14ac:dyDescent="0.2">
      <c r="A357" s="58" t="s">
        <v>452</v>
      </c>
    </row>
    <row r="358" spans="1:1" x14ac:dyDescent="0.2">
      <c r="A358" s="58" t="s">
        <v>44</v>
      </c>
    </row>
    <row r="359" spans="1:1" x14ac:dyDescent="0.2">
      <c r="A359" s="58" t="s">
        <v>37</v>
      </c>
    </row>
    <row r="360" spans="1:1" x14ac:dyDescent="0.2">
      <c r="A360" s="58" t="s">
        <v>95</v>
      </c>
    </row>
    <row r="361" spans="1:1" x14ac:dyDescent="0.2">
      <c r="A361" s="58" t="s">
        <v>34</v>
      </c>
    </row>
    <row r="362" spans="1:1" x14ac:dyDescent="0.2">
      <c r="A362" s="58" t="s">
        <v>245</v>
      </c>
    </row>
    <row r="363" spans="1:1" x14ac:dyDescent="0.2">
      <c r="A363" s="58" t="s">
        <v>91</v>
      </c>
    </row>
    <row r="364" spans="1:1" x14ac:dyDescent="0.2">
      <c r="A364" s="58" t="s">
        <v>246</v>
      </c>
    </row>
    <row r="365" spans="1:1" x14ac:dyDescent="0.2">
      <c r="A365" s="58" t="s">
        <v>34</v>
      </c>
    </row>
    <row r="366" spans="1:1" x14ac:dyDescent="0.2">
      <c r="A366" s="58" t="s">
        <v>92</v>
      </c>
    </row>
    <row r="367" spans="1:1" x14ac:dyDescent="0.2">
      <c r="A367" s="58" t="s">
        <v>243</v>
      </c>
    </row>
    <row r="368" spans="1:1" x14ac:dyDescent="0.2">
      <c r="A368" s="58" t="s">
        <v>244</v>
      </c>
    </row>
    <row r="369" spans="1:1" x14ac:dyDescent="0.2">
      <c r="A369" s="58" t="s">
        <v>36</v>
      </c>
    </row>
    <row r="370" spans="1:1" x14ac:dyDescent="0.2">
      <c r="A370" s="58" t="s">
        <v>460</v>
      </c>
    </row>
    <row r="371" spans="1:1" x14ac:dyDescent="0.2">
      <c r="A371" s="58" t="s">
        <v>469</v>
      </c>
    </row>
    <row r="372" spans="1:1" x14ac:dyDescent="0.2">
      <c r="A372" s="58" t="s">
        <v>490</v>
      </c>
    </row>
    <row r="373" spans="1:1" x14ac:dyDescent="0.2">
      <c r="A373" s="58" t="s">
        <v>491</v>
      </c>
    </row>
    <row r="374" spans="1:1" x14ac:dyDescent="0.2">
      <c r="A374" s="58" t="s">
        <v>440</v>
      </c>
    </row>
    <row r="375" spans="1:1" x14ac:dyDescent="0.2">
      <c r="A375" s="58" t="s">
        <v>448</v>
      </c>
    </row>
    <row r="376" spans="1:1" x14ac:dyDescent="0.2">
      <c r="A376" s="58" t="s">
        <v>449</v>
      </c>
    </row>
    <row r="377" spans="1:1" x14ac:dyDescent="0.2">
      <c r="A377" s="58" t="s">
        <v>450</v>
      </c>
    </row>
    <row r="378" spans="1:1" x14ac:dyDescent="0.2">
      <c r="A378" s="58" t="s">
        <v>451</v>
      </c>
    </row>
    <row r="379" spans="1:1" x14ac:dyDescent="0.2">
      <c r="A379" s="58" t="s">
        <v>61</v>
      </c>
    </row>
    <row r="380" spans="1:1" x14ac:dyDescent="0.2">
      <c r="A380" s="58" t="s">
        <v>247</v>
      </c>
    </row>
    <row r="381" spans="1:1" x14ac:dyDescent="0.2">
      <c r="A381" s="58" t="s">
        <v>248</v>
      </c>
    </row>
    <row r="382" spans="1:1" x14ac:dyDescent="0.2">
      <c r="A382" s="58" t="s">
        <v>93</v>
      </c>
    </row>
    <row r="383" spans="1:1" x14ac:dyDescent="0.2">
      <c r="A383" s="58" t="s">
        <v>89</v>
      </c>
    </row>
    <row r="384" spans="1:1" x14ac:dyDescent="0.2">
      <c r="A384" s="58" t="s">
        <v>452</v>
      </c>
    </row>
    <row r="385" spans="1:1" x14ac:dyDescent="0.2">
      <c r="A385" s="58" t="s">
        <v>94</v>
      </c>
    </row>
    <row r="386" spans="1:1" x14ac:dyDescent="0.2">
      <c r="A386" s="58" t="s">
        <v>94</v>
      </c>
    </row>
    <row r="387" spans="1:1" x14ac:dyDescent="0.2">
      <c r="A387" s="58" t="s">
        <v>44</v>
      </c>
    </row>
    <row r="388" spans="1:1" x14ac:dyDescent="0.2">
      <c r="A388" s="58" t="s">
        <v>37</v>
      </c>
    </row>
    <row r="389" spans="1:1" x14ac:dyDescent="0.2">
      <c r="A389" s="58" t="s">
        <v>33</v>
      </c>
    </row>
    <row r="390" spans="1:1" x14ac:dyDescent="0.2">
      <c r="A390" s="58" t="s">
        <v>249</v>
      </c>
    </row>
    <row r="391" spans="1:1" x14ac:dyDescent="0.2">
      <c r="A391" s="58" t="s">
        <v>91</v>
      </c>
    </row>
    <row r="392" spans="1:1" x14ac:dyDescent="0.2">
      <c r="A392" s="58" t="s">
        <v>250</v>
      </c>
    </row>
    <row r="393" spans="1:1" x14ac:dyDescent="0.2">
      <c r="A393" s="58" t="s">
        <v>34</v>
      </c>
    </row>
    <row r="394" spans="1:1" x14ac:dyDescent="0.2">
      <c r="A394" s="58" t="s">
        <v>92</v>
      </c>
    </row>
    <row r="395" spans="1:1" x14ac:dyDescent="0.2">
      <c r="A395" s="58" t="s">
        <v>251</v>
      </c>
    </row>
    <row r="396" spans="1:1" x14ac:dyDescent="0.2">
      <c r="A396" s="58" t="s">
        <v>36</v>
      </c>
    </row>
    <row r="397" spans="1:1" x14ac:dyDescent="0.2">
      <c r="A397" s="58" t="s">
        <v>252</v>
      </c>
    </row>
    <row r="398" spans="1:1" x14ac:dyDescent="0.2">
      <c r="A398" s="58" t="s">
        <v>460</v>
      </c>
    </row>
    <row r="399" spans="1:1" x14ac:dyDescent="0.2">
      <c r="A399" s="58" t="s">
        <v>469</v>
      </c>
    </row>
    <row r="400" spans="1:1" x14ac:dyDescent="0.2">
      <c r="A400" s="58" t="s">
        <v>488</v>
      </c>
    </row>
    <row r="401" spans="1:1" x14ac:dyDescent="0.2">
      <c r="A401" s="58" t="s">
        <v>489</v>
      </c>
    </row>
    <row r="402" spans="1:1" x14ac:dyDescent="0.2">
      <c r="A402" s="58" t="s">
        <v>440</v>
      </c>
    </row>
    <row r="403" spans="1:1" x14ac:dyDescent="0.2">
      <c r="A403" s="58" t="s">
        <v>453</v>
      </c>
    </row>
    <row r="404" spans="1:1" x14ac:dyDescent="0.2">
      <c r="A404" s="58" t="s">
        <v>454</v>
      </c>
    </row>
    <row r="405" spans="1:1" x14ac:dyDescent="0.2">
      <c r="A405" s="58" t="s">
        <v>455</v>
      </c>
    </row>
    <row r="406" spans="1:1" x14ac:dyDescent="0.2">
      <c r="A406" s="58" t="s">
        <v>451</v>
      </c>
    </row>
    <row r="407" spans="1:1" x14ac:dyDescent="0.2">
      <c r="A407" s="58" t="s">
        <v>61</v>
      </c>
    </row>
    <row r="408" spans="1:1" x14ac:dyDescent="0.2">
      <c r="A408" s="58" t="s">
        <v>253</v>
      </c>
    </row>
    <row r="409" spans="1:1" x14ac:dyDescent="0.2">
      <c r="A409" s="58" t="s">
        <v>254</v>
      </c>
    </row>
    <row r="410" spans="1:1" x14ac:dyDescent="0.2">
      <c r="A410" s="58" t="s">
        <v>93</v>
      </c>
    </row>
    <row r="411" spans="1:1" x14ac:dyDescent="0.2">
      <c r="A411" s="58" t="s">
        <v>89</v>
      </c>
    </row>
    <row r="412" spans="1:1" x14ac:dyDescent="0.2">
      <c r="A412" s="58" t="s">
        <v>267</v>
      </c>
    </row>
    <row r="413" spans="1:1" x14ac:dyDescent="0.2">
      <c r="A413" s="58" t="s">
        <v>94</v>
      </c>
    </row>
    <row r="414" spans="1:1" x14ac:dyDescent="0.2">
      <c r="A414" s="58" t="s">
        <v>94</v>
      </c>
    </row>
    <row r="415" spans="1:1" x14ac:dyDescent="0.2">
      <c r="A415" s="58" t="s">
        <v>44</v>
      </c>
    </row>
    <row r="416" spans="1:1" x14ac:dyDescent="0.2">
      <c r="A416" s="58" t="s">
        <v>37</v>
      </c>
    </row>
    <row r="417" spans="1:1" x14ac:dyDescent="0.2">
      <c r="A417" s="58" t="s">
        <v>255</v>
      </c>
    </row>
    <row r="418" spans="1:1" x14ac:dyDescent="0.2">
      <c r="A418" s="58" t="s">
        <v>91</v>
      </c>
    </row>
    <row r="419" spans="1:1" x14ac:dyDescent="0.2">
      <c r="A419" s="58" t="s">
        <v>256</v>
      </c>
    </row>
    <row r="420" spans="1:1" x14ac:dyDescent="0.2">
      <c r="A420" s="58" t="s">
        <v>34</v>
      </c>
    </row>
    <row r="421" spans="1:1" x14ac:dyDescent="0.2">
      <c r="A421" s="58" t="s">
        <v>92</v>
      </c>
    </row>
    <row r="422" spans="1:1" x14ac:dyDescent="0.2">
      <c r="A422" s="58" t="s">
        <v>251</v>
      </c>
    </row>
    <row r="423" spans="1:1" x14ac:dyDescent="0.2">
      <c r="A423" s="58" t="s">
        <v>36</v>
      </c>
    </row>
    <row r="424" spans="1:1" x14ac:dyDescent="0.2">
      <c r="A424" s="58" t="s">
        <v>252</v>
      </c>
    </row>
    <row r="425" spans="1:1" x14ac:dyDescent="0.2">
      <c r="A425" s="58" t="s">
        <v>460</v>
      </c>
    </row>
    <row r="426" spans="1:1" x14ac:dyDescent="0.2">
      <c r="A426" s="58" t="s">
        <v>469</v>
      </c>
    </row>
    <row r="427" spans="1:1" x14ac:dyDescent="0.2">
      <c r="A427" s="58" t="s">
        <v>488</v>
      </c>
    </row>
    <row r="428" spans="1:1" x14ac:dyDescent="0.2">
      <c r="A428" s="58" t="s">
        <v>489</v>
      </c>
    </row>
    <row r="429" spans="1:1" x14ac:dyDescent="0.2">
      <c r="A429" s="58" t="s">
        <v>440</v>
      </c>
    </row>
    <row r="430" spans="1:1" x14ac:dyDescent="0.2">
      <c r="A430" s="58" t="s">
        <v>453</v>
      </c>
    </row>
    <row r="431" spans="1:1" x14ac:dyDescent="0.2">
      <c r="A431" s="58" t="s">
        <v>454</v>
      </c>
    </row>
    <row r="432" spans="1:1" x14ac:dyDescent="0.2">
      <c r="A432" s="58" t="s">
        <v>450</v>
      </c>
    </row>
    <row r="433" spans="1:1" x14ac:dyDescent="0.2">
      <c r="A433" s="58" t="s">
        <v>451</v>
      </c>
    </row>
    <row r="434" spans="1:1" x14ac:dyDescent="0.2">
      <c r="A434" s="58" t="s">
        <v>61</v>
      </c>
    </row>
    <row r="435" spans="1:1" x14ac:dyDescent="0.2">
      <c r="A435" s="58" t="s">
        <v>257</v>
      </c>
    </row>
    <row r="436" spans="1:1" x14ac:dyDescent="0.2">
      <c r="A436" s="58" t="s">
        <v>258</v>
      </c>
    </row>
    <row r="437" spans="1:1" x14ac:dyDescent="0.2">
      <c r="A437" s="58" t="s">
        <v>93</v>
      </c>
    </row>
    <row r="438" spans="1:1" x14ac:dyDescent="0.2">
      <c r="A438" s="58" t="s">
        <v>89</v>
      </c>
    </row>
    <row r="439" spans="1:1" x14ac:dyDescent="0.2">
      <c r="A439" s="58" t="s">
        <v>419</v>
      </c>
    </row>
    <row r="440" spans="1:1" x14ac:dyDescent="0.2">
      <c r="A440" s="58" t="s">
        <v>94</v>
      </c>
    </row>
    <row r="441" spans="1:1" x14ac:dyDescent="0.2">
      <c r="A441" s="58" t="s">
        <v>94</v>
      </c>
    </row>
    <row r="442" spans="1:1" x14ac:dyDescent="0.2">
      <c r="A442" s="58" t="s">
        <v>44</v>
      </c>
    </row>
    <row r="443" spans="1:1" x14ac:dyDescent="0.2">
      <c r="A443" s="58" t="s">
        <v>37</v>
      </c>
    </row>
    <row r="444" spans="1:1" x14ac:dyDescent="0.2">
      <c r="A444" s="58" t="s">
        <v>33</v>
      </c>
    </row>
    <row r="445" spans="1:1" x14ac:dyDescent="0.2">
      <c r="A445" s="58" t="s">
        <v>96</v>
      </c>
    </row>
    <row r="446" spans="1:1" x14ac:dyDescent="0.2">
      <c r="A446" s="58" t="s">
        <v>34</v>
      </c>
    </row>
    <row r="447" spans="1:1" x14ac:dyDescent="0.2">
      <c r="A447" s="58" t="s">
        <v>46</v>
      </c>
    </row>
    <row r="448" spans="1:1" x14ac:dyDescent="0.2">
      <c r="A448" s="58" t="s">
        <v>34</v>
      </c>
    </row>
    <row r="449" spans="1:1" x14ac:dyDescent="0.2">
      <c r="A449" s="58" t="s">
        <v>97</v>
      </c>
    </row>
    <row r="450" spans="1:1" x14ac:dyDescent="0.2">
      <c r="A450" s="58" t="s">
        <v>34</v>
      </c>
    </row>
    <row r="451" spans="1:1" x14ac:dyDescent="0.2">
      <c r="A451" s="58" t="s">
        <v>98</v>
      </c>
    </row>
    <row r="452" spans="1:1" x14ac:dyDescent="0.2">
      <c r="A452" s="58" t="s">
        <v>116</v>
      </c>
    </row>
    <row r="453" spans="1:1" x14ac:dyDescent="0.2">
      <c r="A453" s="58" t="s">
        <v>99</v>
      </c>
    </row>
    <row r="454" spans="1:1" x14ac:dyDescent="0.2">
      <c r="A454" s="58" t="s">
        <v>100</v>
      </c>
    </row>
    <row r="455" spans="1:1" x14ac:dyDescent="0.2">
      <c r="A455" s="58" t="s">
        <v>36</v>
      </c>
    </row>
    <row r="456" spans="1:1" x14ac:dyDescent="0.2">
      <c r="A456" s="58" t="s">
        <v>101</v>
      </c>
    </row>
    <row r="457" spans="1:1" x14ac:dyDescent="0.2">
      <c r="A457" s="58" t="s">
        <v>102</v>
      </c>
    </row>
    <row r="458" spans="1:1" x14ac:dyDescent="0.2">
      <c r="A458" s="58" t="s">
        <v>259</v>
      </c>
    </row>
    <row r="459" spans="1:1" x14ac:dyDescent="0.2">
      <c r="A459" s="58" t="s">
        <v>260</v>
      </c>
    </row>
    <row r="460" spans="1:1" x14ac:dyDescent="0.2">
      <c r="A460" s="58" t="s">
        <v>261</v>
      </c>
    </row>
    <row r="461" spans="1:1" x14ac:dyDescent="0.2">
      <c r="A461" s="58" t="s">
        <v>103</v>
      </c>
    </row>
    <row r="462" spans="1:1" x14ac:dyDescent="0.2">
      <c r="A462" s="58" t="s">
        <v>44</v>
      </c>
    </row>
    <row r="463" spans="1:1" x14ac:dyDescent="0.2">
      <c r="A463" s="58" t="s">
        <v>104</v>
      </c>
    </row>
    <row r="464" spans="1:1" x14ac:dyDescent="0.2">
      <c r="A464" s="58" t="s">
        <v>105</v>
      </c>
    </row>
    <row r="465" spans="1:1" x14ac:dyDescent="0.2">
      <c r="A465" s="58" t="s">
        <v>36</v>
      </c>
    </row>
    <row r="466" spans="1:1" x14ac:dyDescent="0.2">
      <c r="A466" s="58" t="s">
        <v>106</v>
      </c>
    </row>
    <row r="467" spans="1:1" x14ac:dyDescent="0.2">
      <c r="A467" s="58" t="s">
        <v>107</v>
      </c>
    </row>
    <row r="468" spans="1:1" x14ac:dyDescent="0.2">
      <c r="A468" s="58" t="s">
        <v>262</v>
      </c>
    </row>
    <row r="469" spans="1:1" x14ac:dyDescent="0.2">
      <c r="A469" s="58" t="s">
        <v>263</v>
      </c>
    </row>
    <row r="470" spans="1:1" x14ac:dyDescent="0.2">
      <c r="A470" s="58" t="s">
        <v>264</v>
      </c>
    </row>
    <row r="471" spans="1:1" x14ac:dyDescent="0.2">
      <c r="A471" s="58" t="s">
        <v>103</v>
      </c>
    </row>
    <row r="472" spans="1:1" x14ac:dyDescent="0.2">
      <c r="A472" s="58" t="s">
        <v>108</v>
      </c>
    </row>
    <row r="473" spans="1:1" x14ac:dyDescent="0.2">
      <c r="A473" s="58" t="s">
        <v>45</v>
      </c>
    </row>
    <row r="474" spans="1:1" x14ac:dyDescent="0.2">
      <c r="A474" s="58" t="s">
        <v>34</v>
      </c>
    </row>
    <row r="475" spans="1:1" x14ac:dyDescent="0.2">
      <c r="A475" s="58" t="s">
        <v>436</v>
      </c>
    </row>
    <row r="476" spans="1:1" x14ac:dyDescent="0.2">
      <c r="A476" s="58" t="s">
        <v>34</v>
      </c>
    </row>
  </sheetData>
  <sheetProtection password="F507" sheet="1" objects="1" scenarios="1"/>
  <phoneticPr fontId="2" type="noConversion"/>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31</vt:i4>
      </vt:variant>
    </vt:vector>
  </HeadingPairs>
  <TitlesOfParts>
    <vt:vector size="35" baseType="lpstr">
      <vt:lpstr>Deck</vt:lpstr>
      <vt:lpstr>Help</vt:lpstr>
      <vt:lpstr>General</vt:lpstr>
      <vt:lpstr>Output</vt:lpstr>
      <vt:lpstr>Braces</vt:lpstr>
      <vt:lpstr>coor_bat</vt:lpstr>
      <vt:lpstr>Dsection</vt:lpstr>
      <vt:lpstr>Elev_Base</vt:lpstr>
      <vt:lpstr>General_js</vt:lpstr>
      <vt:lpstr>Genie_Home</vt:lpstr>
      <vt:lpstr>Hsection</vt:lpstr>
      <vt:lpstr>Legsection</vt:lpstr>
      <vt:lpstr>Material</vt:lpstr>
      <vt:lpstr>MatLib</vt:lpstr>
      <vt:lpstr>MY_Beams</vt:lpstr>
      <vt:lpstr>Name_Base</vt:lpstr>
      <vt:lpstr>Deck!Print_Area</vt:lpstr>
      <vt:lpstr>Output!Print_Area</vt:lpstr>
      <vt:lpstr>SectionLib</vt:lpstr>
      <vt:lpstr>SMData</vt:lpstr>
      <vt:lpstr>Title</vt:lpstr>
      <vt:lpstr>Unit_Base</vt:lpstr>
      <vt:lpstr>X_Beams</vt:lpstr>
      <vt:lpstr>X_Col</vt:lpstr>
      <vt:lpstr>X1_Base</vt:lpstr>
      <vt:lpstr>X2_Base</vt:lpstr>
      <vt:lpstr>X2_Calc</vt:lpstr>
      <vt:lpstr>xbrace_base</vt:lpstr>
      <vt:lpstr>xbraces</vt:lpstr>
      <vt:lpstr>Y_Beams</vt:lpstr>
      <vt:lpstr>Y_Col</vt:lpstr>
      <vt:lpstr>Y1_Base</vt:lpstr>
      <vt:lpstr>Y2_Base</vt:lpstr>
      <vt:lpstr>Y2_Calc</vt:lpstr>
      <vt:lpstr>ybrace_base</vt:lpstr>
    </vt:vector>
  </TitlesOfParts>
  <Company>Det Norske Veritas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Deck_Utility</dc:title>
  <dc:subject>Deck modelling utility</dc:subject>
  <dc:creator>Odd</dc:creator>
  <cp:keywords>Deck modelling utility genie</cp:keywords>
  <cp:lastModifiedBy>Odd Solheim</cp:lastModifiedBy>
  <cp:lastPrinted>2003-06-02T07:33:37Z</cp:lastPrinted>
  <dcterms:created xsi:type="dcterms:W3CDTF">2003-03-06T11:34:13Z</dcterms:created>
  <dcterms:modified xsi:type="dcterms:W3CDTF">2013-04-09T10:43:07Z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tatus">
    <vt:lpwstr>Version 1.0-02</vt:lpwstr>
  </property>
</Properties>
</file>